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PerfReports\"/>
    </mc:Choice>
  </mc:AlternateContent>
  <xr:revisionPtr revIDLastSave="0" documentId="8_{8D378A37-BBC4-4B02-9F2A-E1CF9EA80B29}" xr6:coauthVersionLast="36" xr6:coauthVersionMax="36" xr10:uidLastSave="{00000000-0000-0000-0000-000000000000}"/>
  <bookViews>
    <workbookView xWindow="0" yWindow="0" windowWidth="20490" windowHeight="7545" firstSheet="1" activeTab="1" xr2:uid="{00000000-000D-0000-FFFF-FFFF00000000}"/>
  </bookViews>
  <sheets>
    <sheet name="Summary" sheetId="12" r:id="rId1"/>
    <sheet name="Registrations Upload &amp; SyncData" sheetId="8" r:id="rId2"/>
    <sheet name="IDAuthentication" sheetId="5" r:id="rId3"/>
  </sheets>
  <calcPr calcId="191029"/>
</workbook>
</file>

<file path=xl/calcChain.xml><?xml version="1.0" encoding="utf-8"?>
<calcChain xmlns="http://schemas.openxmlformats.org/spreadsheetml/2006/main">
  <c r="B7" i="5" l="1"/>
  <c r="B8" i="8" l="1"/>
  <c r="B8" i="5"/>
  <c r="D33" i="8"/>
  <c r="D31" i="5"/>
  <c r="B9" i="8"/>
  <c r="B15" i="5"/>
  <c r="B7" i="8"/>
  <c r="B17" i="8" l="1"/>
  <c r="B16" i="5"/>
  <c r="B27" i="8" l="1"/>
  <c r="B19" i="12" s="1"/>
  <c r="B18" i="8"/>
  <c r="B19" i="8" s="1"/>
  <c r="B24" i="8" s="1"/>
  <c r="B15" i="12"/>
  <c r="B17" i="5"/>
  <c r="B18" i="5" s="1"/>
  <c r="C16" i="12" s="1"/>
  <c r="B16" i="12"/>
  <c r="F44" i="8" l="1"/>
  <c r="E42" i="8"/>
  <c r="E40" i="8"/>
  <c r="F43" i="8"/>
  <c r="F45" i="8"/>
  <c r="E43" i="8"/>
  <c r="E39" i="8"/>
  <c r="F38" i="8"/>
  <c r="F46" i="8"/>
  <c r="E44" i="8"/>
  <c r="F41" i="8"/>
  <c r="F42" i="8"/>
  <c r="F39" i="8"/>
  <c r="F47" i="8"/>
  <c r="E45" i="8"/>
  <c r="E37" i="8"/>
  <c r="F37" i="8"/>
  <c r="F40" i="8"/>
  <c r="E38" i="8"/>
  <c r="E46" i="8"/>
  <c r="E47" i="8"/>
  <c r="E41" i="8"/>
  <c r="G40" i="8"/>
  <c r="G41" i="8"/>
  <c r="G42" i="8"/>
  <c r="G43" i="8"/>
  <c r="G44" i="8"/>
  <c r="G45" i="8"/>
  <c r="G38" i="8"/>
  <c r="G39" i="8"/>
  <c r="C15" i="12"/>
  <c r="F41" i="5"/>
  <c r="E41" i="5"/>
  <c r="F48" i="8" l="1"/>
  <c r="E48" i="8"/>
  <c r="G37" i="8" l="1"/>
  <c r="G48" i="8" s="1"/>
  <c r="G53" i="8" l="1"/>
  <c r="G29" i="8" s="1"/>
  <c r="F15" i="12" s="1"/>
  <c r="F42" i="5"/>
  <c r="E42" i="5"/>
  <c r="B23" i="5"/>
  <c r="F39" i="5" l="1"/>
  <c r="E39" i="5"/>
  <c r="F40" i="5"/>
  <c r="E40" i="5"/>
  <c r="E35" i="5"/>
  <c r="F37" i="5"/>
  <c r="F36" i="5"/>
  <c r="E36" i="5"/>
  <c r="F35" i="5"/>
  <c r="E38" i="5"/>
  <c r="E37" i="5"/>
  <c r="F38" i="5"/>
  <c r="G38" i="5"/>
  <c r="G39" i="5"/>
  <c r="G37" i="5"/>
  <c r="G40" i="5"/>
  <c r="G36" i="5"/>
  <c r="G35" i="5"/>
  <c r="G43" i="5" l="1"/>
  <c r="F43" i="5"/>
  <c r="G48" i="5"/>
  <c r="G27" i="5" s="1"/>
  <c r="F16" i="12" s="1"/>
  <c r="F17" i="12" s="1"/>
  <c r="F50" i="8"/>
  <c r="F51" i="8" s="1"/>
  <c r="F52" i="8" s="1"/>
  <c r="E43" i="5" l="1"/>
  <c r="E45" i="5" s="1"/>
  <c r="F45" i="5"/>
  <c r="F46" i="5" s="1"/>
  <c r="F47" i="5" s="1"/>
  <c r="F48" i="5" s="1"/>
  <c r="F27" i="5" s="1"/>
  <c r="E16" i="12" s="1"/>
  <c r="E50" i="8"/>
  <c r="E51" i="8" s="1"/>
  <c r="E52" i="8" s="1"/>
  <c r="F53" i="8"/>
  <c r="F29" i="8" s="1"/>
  <c r="E15" i="12" s="1"/>
  <c r="E17" i="12" l="1"/>
  <c r="E46" i="5"/>
  <c r="E47" i="5" s="1"/>
  <c r="E53" i="8"/>
  <c r="E29" i="8" s="1"/>
  <c r="D15" i="12" s="1"/>
  <c r="E48" i="5" l="1"/>
  <c r="E27" i="5" s="1"/>
  <c r="D16" i="12" s="1"/>
  <c r="D17"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Deepesh Gurung</author>
  </authors>
  <commentList>
    <comment ref="B8" authorId="0" shapeId="0" xr:uid="{3A2A806D-68EB-46CE-9E26-2DCB3345D3E3}">
      <text>
        <r>
          <rPr>
            <sz val="9"/>
            <color indexed="81"/>
            <rFont val="Arial"/>
            <family val="2"/>
            <scheme val="minor"/>
          </rPr>
          <t>Based on Data from Philippines</t>
        </r>
      </text>
    </comment>
    <comment ref="B9" authorId="0" shapeId="0" xr:uid="{A420C44B-6E43-497A-8E79-A2303E1D498B}">
      <text>
        <r>
          <rPr>
            <sz val="9"/>
            <color indexed="81"/>
            <rFont val="Arial"/>
            <family val="2"/>
            <scheme val="minor"/>
          </rPr>
          <t>Default Value was based on Data from Philippines</t>
        </r>
      </text>
    </comment>
    <comment ref="B10" authorId="0" shapeId="0" xr:uid="{694D4D41-C711-442E-8740-A04C95B9468B}">
      <text>
        <r>
          <rPr>
            <sz val="9"/>
            <color indexed="81"/>
            <rFont val="Tahoma"/>
            <family val="2"/>
          </rPr>
          <t>Based on publicly  available data of India's AADHAR system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Deepesh Gurung</author>
    <author/>
  </authors>
  <commentList>
    <comment ref="B13" authorId="0" shapeId="0" xr:uid="{6F4D5996-86ED-4C1C-AF1D-80F8B1299E51}">
      <text>
        <r>
          <rPr>
            <sz val="10"/>
            <color indexed="81"/>
            <rFont val="Arial"/>
            <family val="2"/>
            <scheme val="major"/>
          </rPr>
          <t>Assuming the uploads will be done by clients in the last 1 hour of workday</t>
        </r>
      </text>
    </comment>
    <comment ref="B14" authorId="0" shapeId="0" xr:uid="{D44E04DE-916B-4ADE-8DBE-AD191CE0640A}">
      <text>
        <r>
          <rPr>
            <sz val="10"/>
            <color rgb="FF000000"/>
            <rFont val="Arial"/>
            <family val="2"/>
            <scheme val="major"/>
          </rPr>
          <t>We are assuming the peak day will be slighly higher ( X1.2) than a Typical day</t>
        </r>
      </text>
    </comment>
    <comment ref="B17" authorId="0" shapeId="0" xr:uid="{8830E571-2490-425E-A225-9F4D7E3C4C0B}">
      <text>
        <r>
          <rPr>
            <sz val="9"/>
            <color indexed="81"/>
            <rFont val="Tahoma"/>
            <family val="2"/>
          </rPr>
          <t>Number of Resident Client Device X Typical number of registration per day</t>
        </r>
      </text>
    </comment>
    <comment ref="B24" authorId="1" shapeId="0" xr:uid="{F962B436-8748-41B9-A1C9-ED863CA8D699}">
      <text>
        <r>
          <rPr>
            <sz val="10"/>
            <color rgb="FF000000"/>
            <rFont val="Arial"/>
            <family val="2"/>
          </rPr>
          <t>The Multiplying Factor is determined by dividing the expected TPS during the peak hour (cell B19) by the TPS observed in the performance run (cell B22). However, this factor is applied only as a whole number addition — it will not be used as a fractional divisor.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Deepesh Gurung</author>
    <author/>
  </authors>
  <commentList>
    <comment ref="B8" authorId="0" shapeId="0" xr:uid="{C70D028E-7944-4DDC-B76D-DCCD858C1E66}">
      <text>
        <r>
          <rPr>
            <sz val="10"/>
            <color indexed="81"/>
            <rFont val="Arial"/>
            <family val="2"/>
            <scheme val="major"/>
          </rPr>
          <t>Based on publicly  available data on other National ID  projects</t>
        </r>
      </text>
    </comment>
    <comment ref="B12" authorId="0" shapeId="0" xr:uid="{76DBB8AE-EEB0-4B85-960E-01B1EAE831BA}">
      <text>
        <r>
          <rPr>
            <sz val="10"/>
            <color indexed="81"/>
            <rFont val="Arial"/>
            <family val="2"/>
            <scheme val="minor"/>
          </rPr>
          <t>Industry standard to estimate peak hour load compared to daily load</t>
        </r>
      </text>
    </comment>
    <comment ref="B23" authorId="0" shapeId="0" xr:uid="{05BD00FA-C966-42E4-A807-9ABADA56CD02}">
      <text>
        <r>
          <rPr>
            <sz val="10"/>
            <color indexed="81"/>
            <rFont val="Arial"/>
            <family val="2"/>
            <scheme val="major"/>
          </rPr>
          <t>The Multiplying Factor is determined by dividing the expected TPS during the peak hour (cell B18) by the TPS observed in the performance run (cell B21). However, this factor is applied only as a whole number addition — it will not be used as a fractional divisor.</t>
        </r>
      </text>
    </comment>
    <comment ref="E45" authorId="1" shapeId="0" xr:uid="{2A8B95BB-5843-4BB4-8720-C371849C4084}">
      <text>
        <r>
          <rPr>
            <sz val="10"/>
            <color rgb="FF000000"/>
            <rFont val="Arial"/>
            <family val="2"/>
            <scheme val="minor"/>
          </rPr>
          <t>20% of total CPU is considered for monitoring , logging and alerts.</t>
        </r>
      </text>
    </comment>
    <comment ref="E46" authorId="1" shapeId="0" xr:uid="{10D7C404-285F-466D-B993-72E467D80006}">
      <text>
        <r>
          <rPr>
            <sz val="10"/>
            <color rgb="FF000000"/>
            <rFont val="Arial"/>
            <family val="2"/>
            <scheme val="minor"/>
          </rPr>
          <t>30% of Monitoring is considered for kubernetes infra.</t>
        </r>
      </text>
    </comment>
  </commentList>
</comments>
</file>

<file path=xl/sharedStrings.xml><?xml version="1.0" encoding="utf-8"?>
<sst xmlns="http://schemas.openxmlformats.org/spreadsheetml/2006/main" count="131" uniqueCount="82">
  <si>
    <t>Services</t>
  </si>
  <si>
    <t>A - Monitoring, Logging and alerts.( 20% of Total CPU &amp; memory)</t>
  </si>
  <si>
    <t>B - Kubernetes infra. (30% of A)</t>
  </si>
  <si>
    <t>C - Buffer in the system. (30% of B)</t>
  </si>
  <si>
    <t>Data to be provided by country</t>
  </si>
  <si>
    <t>Values</t>
  </si>
  <si>
    <t>Total Population using National ID for authentication</t>
  </si>
  <si>
    <t>No. of users using the system in any given second during the peak hour - TPS</t>
  </si>
  <si>
    <t xml:space="preserve">Redis (Standalone) </t>
  </si>
  <si>
    <t>PostGres (Standalone)</t>
  </si>
  <si>
    <t>Buffers</t>
  </si>
  <si>
    <t>Total Resources required</t>
  </si>
  <si>
    <t>Calculates CPU, RAM and Storage required for ID Authentication</t>
  </si>
  <si>
    <t>ID Authentication Resource Calculator</t>
  </si>
  <si>
    <t>Factor required to match the expected peak hour TPS</t>
  </si>
  <si>
    <t>Performance Run TPS</t>
  </si>
  <si>
    <t>Registration Resource Calculator</t>
  </si>
  <si>
    <t>Duration for registration to complete (in working days)</t>
  </si>
  <si>
    <t>Peak day multiplier</t>
  </si>
  <si>
    <t>Number of Hours in upload window</t>
  </si>
  <si>
    <t>registration-processor-stage-group-1</t>
  </si>
  <si>
    <t>registration-processor-registration-status-service</t>
  </si>
  <si>
    <t>registration-processor-registration-transaction-service</t>
  </si>
  <si>
    <t>Calculates CPU, RAM and Storage required for New Registration Upload &amp; Sync Data</t>
  </si>
  <si>
    <t>keymanager-Key Manager</t>
  </si>
  <si>
    <t>kernel-Sync Data</t>
  </si>
  <si>
    <t>ida-IDA-AUTH</t>
  </si>
  <si>
    <t>ida-IDA-OTP</t>
  </si>
  <si>
    <t>bisosdk-biosdk-service</t>
  </si>
  <si>
    <t>kernel-NOTIFIER</t>
  </si>
  <si>
    <t>kernel-OTPMANAGER</t>
  </si>
  <si>
    <t>kernel-AUDITMANAGER</t>
  </si>
  <si>
    <t>pods</t>
  </si>
  <si>
    <t>VCPU</t>
  </si>
  <si>
    <t>RAM</t>
  </si>
  <si>
    <t>Total population having National Id</t>
  </si>
  <si>
    <t>Avg Authentication per day as %</t>
  </si>
  <si>
    <t xml:space="preserve">Peak Authentication per hour </t>
  </si>
  <si>
    <t>Avg Authentication per day</t>
  </si>
  <si>
    <t>Peak Hour Authentication per day as % of daily</t>
  </si>
  <si>
    <t>Total pods 
required 
for 
Peak hour</t>
  </si>
  <si>
    <t>RAM (GB)
per
pod</t>
  </si>
  <si>
    <t>vCPU
per
pod</t>
  </si>
  <si>
    <t>Total 
vCPU</t>
  </si>
  <si>
    <t>Total 
RAM (GB)</t>
  </si>
  <si>
    <t>vCPU</t>
  </si>
  <si>
    <t>Total Population to be Registered</t>
  </si>
  <si>
    <t>Scenario</t>
  </si>
  <si>
    <t>Registrations Upload &amp; SyncData</t>
  </si>
  <si>
    <t>Authentication</t>
  </si>
  <si>
    <t>RAM (GB)</t>
  </si>
  <si>
    <t>Avg Daily Load</t>
  </si>
  <si>
    <t>Platform Resource Calculator Summary</t>
  </si>
  <si>
    <t>Calculates CPU, RAM and Storage required for Platform related modules</t>
  </si>
  <si>
    <t>Number of registration client devices</t>
  </si>
  <si>
    <t>Peak Load ( TPS )</t>
  </si>
  <si>
    <t xml:space="preserve">Total Resources required </t>
  </si>
  <si>
    <t>Peak Daily Upload (Daily Load X Peak day multiplier)</t>
  </si>
  <si>
    <t xml:space="preserve">Key Inputs </t>
  </si>
  <si>
    <t>Data based on Industry standards</t>
  </si>
  <si>
    <t>Typical Number of Registration Upload per day</t>
  </si>
  <si>
    <t>Peak Hour Upload per second - TPS</t>
  </si>
  <si>
    <r>
      <rPr>
        <b/>
        <sz val="10"/>
        <color rgb="FF000000"/>
        <rFont val="Arial"/>
        <family val="2"/>
        <scheme val="minor"/>
      </rPr>
      <t xml:space="preserve">Note: </t>
    </r>
    <r>
      <rPr>
        <sz val="10"/>
        <color rgb="FF000000"/>
        <rFont val="Arial"/>
        <family val="2"/>
        <scheme val="minor"/>
      </rPr>
      <t>These calculations represent approximate estimates derived from our testing. Actual performance in your environment may vary depending on factors such as load, infrastructure capacity, hardware, and data characteristics.</t>
    </r>
  </si>
  <si>
    <t>Performance Observed during Internal Test</t>
  </si>
  <si>
    <t>Resource used in Internal Test</t>
  </si>
  <si>
    <t>Calculation</t>
  </si>
  <si>
    <t xml:space="preserve"> Resources Required</t>
  </si>
  <si>
    <t>Additional Assumptions</t>
  </si>
  <si>
    <t>Should be updated in 
Summary Sheet</t>
  </si>
  <si>
    <t>Should be updated as per Country's 
planned operational requirements</t>
  </si>
  <si>
    <t>Calculation based on Key Input and Assumptions</t>
  </si>
  <si>
    <t>KERNEL-MASTERDATA</t>
  </si>
  <si>
    <t>KERNEL-AUDITMANAGER</t>
  </si>
  <si>
    <t>KERNEL-AUTHMANAGER</t>
  </si>
  <si>
    <t>kafka</t>
  </si>
  <si>
    <t>Should be updated as per Country's planned operational requirements</t>
  </si>
  <si>
    <t>Note: Data storage requirement is not included</t>
  </si>
  <si>
    <r>
      <rPr>
        <b/>
        <sz val="10"/>
        <color rgb="FF000000"/>
        <rFont val="Arial"/>
        <family val="2"/>
        <scheme val="minor"/>
      </rPr>
      <t xml:space="preserve">Note: </t>
    </r>
    <r>
      <rPr>
        <sz val="10"/>
        <color rgb="FF000000"/>
        <rFont val="Arial"/>
        <family val="2"/>
        <scheme val="minor"/>
      </rPr>
      <t>Few additional assumptions have been used to calculate below estimates. Check respective sheets for detailed information.</t>
    </r>
  </si>
  <si>
    <t>Typical Number of registration per day per device expected</t>
  </si>
  <si>
    <r>
      <rPr>
        <b/>
        <sz val="10"/>
        <color rgb="FF000000"/>
        <rFont val="Arial"/>
        <family val="2"/>
        <scheme val="minor"/>
      </rPr>
      <t xml:space="preserve">Note: </t>
    </r>
    <r>
      <rPr>
        <sz val="10"/>
        <color rgb="FF000000"/>
        <rFont val="Arial"/>
        <family val="2"/>
        <scheme val="minor"/>
      </rPr>
      <t>The TPS for each calculator is arrived based on some assumed weightage between different types of transaction. For more details on workload model in the Performance Report</t>
    </r>
  </si>
  <si>
    <t>Multiplying Factor required to match the peak Processing load</t>
  </si>
  <si>
    <t>A - Monitoring, Logging and alerts. (20% of Total CPU &amp; memory)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</si>
</sst>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2">
    <font>
      <sz val="10"/>
      <color rgb="FF000000"/>
      <name val="Arial"/>
      <scheme val="minor"/>
    </font>
    <font>
      <b/>
      <sz val="14"/>
      <color theme="1"/>
      <name val="Montserrat"/>
    </font>
    <font>
      <sz val="10"/>
      <color theme="1"/>
      <name val="Montserrat"/>
    </font>
    <font>
      <i/>
      <sz val="10"/>
      <color theme="1"/>
      <name val="Montserrat"/>
    </font>
    <font>
      <b/>
      <sz val="10"/>
      <color theme="1"/>
      <name val="Montserrat"/>
    </font>
    <font>
      <sz val="10"/>
      <color theme="1"/>
      <name val="Arial"/>
      <family val="2"/>
      <scheme val="minor"/>
    </font>
    <font>
      <sz val="10"/>
      <color rgb="FF000000"/>
      <name val="Montserrat"/>
    </font>
    <font>
      <b/>
      <sz val="10"/>
      <color rgb="FF000000"/>
      <name val="Montserrat"/>
    </font>
    <font>
      <b/>
      <sz val="10"/>
      <color theme="1"/>
      <name val="Arial"/>
      <family val="2"/>
      <scheme val="minor"/>
    </font>
    <font>
      <b/>
      <sz val="10"/>
      <color theme="1"/>
      <name val="Montserrat"/>
    </font>
    <font>
      <sz val="10"/>
      <color theme="1"/>
      <name val="Montserrat"/>
    </font>
    <font>
      <sz val="9"/>
      <color indexed="81"/>
      <name val="Tahoma"/>
      <family val="2"/>
    </font>
    <font>
      <sz val="10"/>
      <color rgb="FF000000"/>
      <name val="Arial"/>
      <family val="2"/>
      <scheme val="minor"/>
    </font>
    <font>
      <sz val="10"/>
      <color theme="1"/>
      <name val="Arial"/>
      <family val="2"/>
      <scheme val="minor"/>
    </font>
    <font>
      <sz val="10"/>
      <color rgb="FF000000"/>
      <name val="Arial"/>
      <family val="2"/>
    </font>
    <font>
      <sz val="15"/>
      <color rgb="FFD1D2D3"/>
      <name val="Arial"/>
      <family val="2"/>
      <scheme val="minor"/>
    </font>
    <font>
      <sz val="8"/>
      <name val="Arial"/>
      <family val="2"/>
      <scheme val="minor"/>
    </font>
    <font>
      <sz val="10"/>
      <color rgb="FF000000"/>
      <name val="Arial"/>
      <family val="2"/>
      <scheme val="major"/>
    </font>
    <font>
      <b/>
      <sz val="16"/>
      <color theme="1"/>
      <name val="Arial"/>
      <family val="2"/>
      <scheme val="minor"/>
    </font>
    <font>
      <i/>
      <sz val="10"/>
      <color theme="1"/>
      <name val="Arial"/>
      <family val="2"/>
      <scheme val="minor"/>
    </font>
    <font>
      <b/>
      <sz val="10"/>
      <color theme="1"/>
      <name val="Arial"/>
      <family val="2"/>
      <scheme val="minor"/>
    </font>
    <font>
      <b/>
      <sz val="10"/>
      <color rgb="FF000000"/>
      <name val="Arial"/>
      <family val="2"/>
      <scheme val="minor"/>
    </font>
    <font>
      <b/>
      <sz val="12"/>
      <color theme="1"/>
      <name val="Arial"/>
      <family val="2"/>
      <scheme val="minor"/>
    </font>
    <font>
      <sz val="12"/>
      <color theme="1"/>
      <name val="Arial"/>
      <family val="2"/>
      <scheme val="minor"/>
    </font>
    <font>
      <sz val="16"/>
      <color theme="1"/>
      <name val="Arial"/>
      <family val="2"/>
      <scheme val="minor"/>
    </font>
    <font>
      <sz val="16"/>
      <color rgb="FF000000"/>
      <name val="Arial"/>
      <family val="2"/>
      <scheme val="minor"/>
    </font>
    <font>
      <sz val="9"/>
      <color indexed="81"/>
      <name val="Arial"/>
      <family val="2"/>
      <scheme val="minor"/>
    </font>
    <font>
      <sz val="10"/>
      <color indexed="81"/>
      <name val="Arial"/>
      <family val="2"/>
      <scheme val="major"/>
    </font>
    <font>
      <sz val="10"/>
      <color indexed="81"/>
      <name val="Arial"/>
      <family val="2"/>
      <scheme val="minor"/>
    </font>
    <font>
      <b/>
      <sz val="14"/>
      <color theme="1"/>
      <name val="Arial"/>
      <family val="2"/>
      <scheme val="minor"/>
    </font>
    <font>
      <sz val="14"/>
      <color theme="1"/>
      <name val="Arial"/>
      <family val="2"/>
      <scheme val="minor"/>
    </font>
    <font>
      <sz val="14"/>
      <color theme="1"/>
      <name val="Montserrat"/>
    </font>
  </fonts>
  <fills count="15">
    <fill>
      <patternFill patternType="none"/>
    </fill>
    <fill>
      <patternFill patternType="gray125"/>
    </fill>
    <fill>
      <patternFill patternType="solid">
        <fgColor theme="0"/>
        <bgColor theme="0"/>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B4A7D6"/>
        <bgColor rgb="FFB4A7D6"/>
      </patternFill>
    </fill>
    <fill>
      <patternFill patternType="solid">
        <fgColor theme="4" tint="0.39997558519241921"/>
        <bgColor rgb="FFC9DAF8"/>
      </patternFill>
    </fill>
    <fill>
      <patternFill patternType="solid">
        <fgColor theme="6" tint="0.59999389629810485"/>
        <bgColor rgb="FFB4A7D6"/>
      </patternFill>
    </fill>
    <fill>
      <patternFill patternType="solid">
        <fgColor theme="6" tint="0.59999389629810485"/>
        <bgColor indexed="64"/>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6" tint="0.79998168889431442"/>
        <bgColor rgb="FFD9EAD3"/>
      </patternFill>
    </fill>
    <fill>
      <patternFill patternType="solid">
        <fgColor theme="0" tint="-4.9989318521683403E-2"/>
        <bgColor rgb="FFFCE5CD"/>
      </patternFill>
    </fill>
    <fill>
      <patternFill patternType="solid">
        <fgColor theme="8" tint="0.79998168889431442"/>
        <bgColor rgb="FFFCE5CD"/>
      </patternFill>
    </fill>
  </fills>
  <borders count="42">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diagonal/>
    </border>
    <border>
      <left/>
      <right style="medium">
        <color indexed="64"/>
      </right>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indexed="64"/>
      </right>
      <top style="medium">
        <color indexed="64"/>
      </top>
      <bottom/>
      <diagonal/>
    </border>
    <border>
      <left style="medium">
        <color indexed="64"/>
      </left>
      <right/>
      <top style="medium">
        <color rgb="FF000000"/>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right/>
      <top style="medium">
        <color indexed="64"/>
      </top>
      <bottom/>
      <diagonal/>
    </border>
    <border>
      <left style="medium">
        <color indexed="64"/>
      </left>
      <right style="medium">
        <color rgb="FF000000"/>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bottom style="medium">
        <color rgb="FF000000"/>
      </bottom>
      <diagonal/>
    </border>
    <border>
      <left/>
      <right style="medium">
        <color indexed="64"/>
      </right>
      <top style="medium">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right style="medium">
        <color indexed="64"/>
      </right>
      <top/>
      <bottom style="medium">
        <color rgb="FF000000"/>
      </bottom>
      <diagonal/>
    </border>
    <border>
      <left style="thin">
        <color indexed="64"/>
      </left>
      <right/>
      <top style="medium">
        <color indexed="64"/>
      </top>
      <bottom style="medium">
        <color indexed="64"/>
      </bottom>
      <diagonal/>
    </border>
  </borders>
  <cellStyleXfs count="1">
    <xf numFmtId="0" fontId="0" fillId="0" borderId="0"/>
  </cellStyleXfs>
  <cellXfs count="203">
    <xf numFmtId="0" fontId="0" fillId="0" borderId="0" xfId="0"/>
    <xf numFmtId="0" fontId="1" fillId="2" borderId="1" xfId="0" applyFont="1" applyFill="1" applyBorder="1" applyAlignment="1">
      <alignment horizontal="left" vertical="center" wrapText="1"/>
    </xf>
    <xf numFmtId="0" fontId="4" fillId="0" borderId="0" xfId="0" applyFont="1" applyAlignment="1">
      <alignment horizontal="left" vertical="center" wrapText="1"/>
    </xf>
    <xf numFmtId="0" fontId="12" fillId="0" borderId="0" xfId="0" applyFont="1"/>
    <xf numFmtId="0" fontId="8" fillId="0" borderId="10" xfId="0" applyFont="1" applyBorder="1"/>
    <xf numFmtId="0" fontId="2" fillId="0" borderId="14" xfId="0" applyFont="1" applyBorder="1"/>
    <xf numFmtId="0" fontId="8" fillId="0" borderId="19" xfId="0" applyFont="1" applyBorder="1"/>
    <xf numFmtId="0" fontId="2" fillId="0" borderId="13" xfId="0" applyFont="1" applyBorder="1"/>
    <xf numFmtId="0" fontId="0" fillId="0" borderId="0" xfId="0"/>
    <xf numFmtId="0" fontId="0" fillId="0" borderId="0" xfId="0"/>
    <xf numFmtId="0" fontId="12" fillId="0" borderId="0" xfId="0" applyFont="1" applyAlignment="1">
      <alignment horizontal="left" vertical="center"/>
    </xf>
    <xf numFmtId="0" fontId="3" fillId="0" borderId="1" xfId="0" applyFont="1" applyBorder="1" applyAlignment="1">
      <alignment horizontal="left" vertical="center"/>
    </xf>
    <xf numFmtId="0" fontId="0" fillId="0" borderId="0" xfId="0" applyAlignment="1">
      <alignment horizontal="left" vertical="center" wrapText="1"/>
    </xf>
    <xf numFmtId="0" fontId="12" fillId="0" borderId="0" xfId="0" applyFont="1" applyAlignment="1">
      <alignment horizontal="left" vertical="center" wrapText="1"/>
    </xf>
    <xf numFmtId="0" fontId="15" fillId="0" borderId="0" xfId="0" applyFont="1" applyAlignment="1">
      <alignment horizontal="left" vertical="center" wrapText="1"/>
    </xf>
    <xf numFmtId="0" fontId="18" fillId="2" borderId="1" xfId="0" applyFont="1" applyFill="1" applyBorder="1" applyAlignment="1">
      <alignment horizontal="left" vertical="center" wrapText="1"/>
    </xf>
    <xf numFmtId="0" fontId="19" fillId="0" borderId="1" xfId="0" applyFont="1" applyBorder="1" applyAlignment="1">
      <alignment horizontal="left" vertical="center" wrapText="1"/>
    </xf>
    <xf numFmtId="0" fontId="19" fillId="0" borderId="7" xfId="0" applyFont="1" applyBorder="1" applyAlignment="1">
      <alignment horizontal="left" vertical="center" wrapText="1"/>
    </xf>
    <xf numFmtId="0" fontId="20" fillId="0" borderId="0" xfId="0" applyFont="1" applyAlignment="1">
      <alignment horizontal="left" vertical="center"/>
    </xf>
    <xf numFmtId="0" fontId="13" fillId="0" borderId="14" xfId="0" applyFont="1" applyBorder="1" applyAlignment="1">
      <alignment horizontal="left" vertical="center"/>
    </xf>
    <xf numFmtId="0" fontId="13" fillId="0" borderId="18" xfId="0" applyFont="1" applyBorder="1" applyAlignment="1">
      <alignment horizontal="left" vertical="center"/>
    </xf>
    <xf numFmtId="0" fontId="13" fillId="5" borderId="2" xfId="0" applyFont="1" applyFill="1" applyBorder="1" applyAlignment="1">
      <alignment horizontal="left" vertical="center"/>
    </xf>
    <xf numFmtId="0" fontId="13" fillId="5" borderId="4" xfId="0" applyFont="1" applyFill="1" applyBorder="1" applyAlignment="1">
      <alignment horizontal="left" vertical="center"/>
    </xf>
    <xf numFmtId="0" fontId="13" fillId="5" borderId="5" xfId="0" applyFont="1" applyFill="1" applyBorder="1" applyAlignment="1">
      <alignment horizontal="left" vertical="center"/>
    </xf>
    <xf numFmtId="0" fontId="13" fillId="0" borderId="0" xfId="0" applyFont="1" applyAlignment="1">
      <alignment horizontal="left" vertical="center"/>
    </xf>
    <xf numFmtId="0" fontId="13" fillId="0" borderId="6" xfId="0" applyFont="1" applyBorder="1" applyAlignment="1">
      <alignment horizontal="left" vertical="center"/>
    </xf>
    <xf numFmtId="0" fontId="20" fillId="0" borderId="9" xfId="0" applyFont="1" applyBorder="1" applyAlignment="1">
      <alignment horizontal="left" vertical="center"/>
    </xf>
    <xf numFmtId="0" fontId="13" fillId="0" borderId="14" xfId="0" applyFont="1" applyFill="1" applyBorder="1" applyAlignment="1">
      <alignment horizontal="left" vertical="center"/>
    </xf>
    <xf numFmtId="0" fontId="13" fillId="0" borderId="11" xfId="0" applyFont="1" applyBorder="1" applyAlignment="1">
      <alignment horizontal="left" vertical="center"/>
    </xf>
    <xf numFmtId="0" fontId="13" fillId="0" borderId="13" xfId="0" applyFont="1" applyBorder="1" applyAlignment="1">
      <alignment horizontal="left" vertical="center"/>
    </xf>
    <xf numFmtId="0" fontId="23" fillId="6" borderId="4" xfId="0" applyFont="1" applyFill="1" applyBorder="1" applyAlignment="1">
      <alignment horizontal="left" vertical="center"/>
    </xf>
    <xf numFmtId="49" fontId="13" fillId="0" borderId="17" xfId="0" applyNumberFormat="1" applyFont="1" applyFill="1" applyBorder="1" applyAlignment="1">
      <alignment horizontal="left" vertical="center"/>
    </xf>
    <xf numFmtId="0" fontId="13" fillId="0" borderId="17" xfId="0" applyFont="1" applyFill="1" applyBorder="1" applyAlignment="1">
      <alignment horizontal="left" vertical="center"/>
    </xf>
    <xf numFmtId="0" fontId="13" fillId="0" borderId="16" xfId="0" applyFont="1" applyBorder="1" applyAlignment="1">
      <alignment horizontal="left" vertical="center"/>
    </xf>
    <xf numFmtId="0" fontId="13" fillId="4" borderId="17" xfId="0" applyFont="1" applyFill="1" applyBorder="1" applyAlignment="1">
      <alignment horizontal="right" vertical="center"/>
    </xf>
    <xf numFmtId="0" fontId="13" fillId="0" borderId="16" xfId="0" applyFont="1" applyBorder="1" applyAlignment="1">
      <alignment horizontal="right" vertical="center"/>
    </xf>
    <xf numFmtId="164" fontId="13" fillId="4" borderId="16" xfId="0" applyNumberFormat="1" applyFont="1" applyFill="1" applyBorder="1" applyAlignment="1">
      <alignment horizontal="right" vertical="center"/>
    </xf>
    <xf numFmtId="0" fontId="13" fillId="0" borderId="18" xfId="0" applyFont="1" applyBorder="1" applyAlignment="1">
      <alignment horizontal="right" vertical="center"/>
    </xf>
    <xf numFmtId="164" fontId="13" fillId="0" borderId="18" xfId="0" applyNumberFormat="1" applyFont="1" applyBorder="1" applyAlignment="1">
      <alignment horizontal="right" vertical="center"/>
    </xf>
    <xf numFmtId="0" fontId="13" fillId="0" borderId="7" xfId="0" applyFont="1" applyBorder="1" applyAlignment="1">
      <alignment horizontal="right" vertical="center"/>
    </xf>
    <xf numFmtId="0" fontId="13" fillId="0" borderId="22" xfId="0" applyFont="1" applyBorder="1" applyAlignment="1">
      <alignment horizontal="right" vertical="center"/>
    </xf>
    <xf numFmtId="164" fontId="13" fillId="0" borderId="3" xfId="0" applyNumberFormat="1" applyFont="1" applyBorder="1" applyAlignment="1">
      <alignment horizontal="right" vertical="center"/>
    </xf>
    <xf numFmtId="3" fontId="22" fillId="6" borderId="4" xfId="0" applyNumberFormat="1" applyFont="1" applyFill="1" applyBorder="1" applyAlignment="1">
      <alignment horizontal="right" vertical="center"/>
    </xf>
    <xf numFmtId="3" fontId="22" fillId="6" borderId="5" xfId="0" applyNumberFormat="1" applyFont="1" applyFill="1" applyBorder="1" applyAlignment="1">
      <alignment horizontal="right" vertical="center"/>
    </xf>
    <xf numFmtId="0" fontId="0" fillId="0" borderId="7" xfId="0" applyBorder="1"/>
    <xf numFmtId="0" fontId="21" fillId="0" borderId="27" xfId="0" applyFont="1" applyBorder="1" applyAlignment="1">
      <alignment horizontal="center" vertical="center"/>
    </xf>
    <xf numFmtId="0" fontId="2" fillId="0" borderId="20" xfId="0" applyFont="1" applyFill="1" applyBorder="1" applyAlignment="1">
      <alignment horizontal="left" vertical="center" wrapText="1"/>
    </xf>
    <xf numFmtId="0" fontId="2" fillId="0" borderId="21" xfId="0" applyFont="1" applyFill="1" applyBorder="1" applyAlignment="1">
      <alignment horizontal="left" vertical="center" wrapText="1"/>
    </xf>
    <xf numFmtId="0" fontId="2" fillId="0" borderId="22" xfId="0" applyFont="1" applyFill="1" applyBorder="1" applyAlignment="1">
      <alignment horizontal="left" vertical="center" wrapText="1"/>
    </xf>
    <xf numFmtId="0" fontId="0" fillId="0" borderId="21" xfId="0" applyBorder="1"/>
    <xf numFmtId="0" fontId="21" fillId="0" borderId="23" xfId="0" applyFont="1" applyFill="1" applyBorder="1"/>
    <xf numFmtId="0" fontId="21" fillId="0" borderId="28" xfId="0" applyFont="1" applyFill="1" applyBorder="1"/>
    <xf numFmtId="0" fontId="21" fillId="0" borderId="29" xfId="0" applyFont="1" applyFill="1" applyBorder="1"/>
    <xf numFmtId="0" fontId="12" fillId="0" borderId="0" xfId="0" applyFont="1" applyAlignment="1">
      <alignment horizontal="right" vertical="center"/>
    </xf>
    <xf numFmtId="0" fontId="20" fillId="0" borderId="10" xfId="0" applyFont="1" applyBorder="1" applyAlignment="1">
      <alignment horizontal="right" vertical="center"/>
    </xf>
    <xf numFmtId="0" fontId="21" fillId="0" borderId="16" xfId="0" applyFont="1" applyFill="1" applyBorder="1"/>
    <xf numFmtId="0" fontId="21" fillId="0" borderId="0" xfId="0" applyFont="1"/>
    <xf numFmtId="0" fontId="4" fillId="0" borderId="9" xfId="0" applyFont="1" applyBorder="1"/>
    <xf numFmtId="0" fontId="2" fillId="0" borderId="7" xfId="0" applyFont="1" applyBorder="1"/>
    <xf numFmtId="0" fontId="12" fillId="0" borderId="22" xfId="0" applyFont="1" applyBorder="1"/>
    <xf numFmtId="3" fontId="5" fillId="0" borderId="7" xfId="0" applyNumberFormat="1" applyFont="1" applyFill="1" applyBorder="1"/>
    <xf numFmtId="0" fontId="5" fillId="0" borderId="7" xfId="0" applyFont="1" applyFill="1" applyBorder="1"/>
    <xf numFmtId="0" fontId="25" fillId="0" borderId="0" xfId="0" applyFont="1" applyFill="1"/>
    <xf numFmtId="0" fontId="12" fillId="0" borderId="0" xfId="0" applyFont="1" applyFill="1"/>
    <xf numFmtId="0" fontId="3" fillId="0" borderId="7" xfId="0" applyFont="1" applyBorder="1" applyAlignment="1">
      <alignment horizontal="left" vertical="center"/>
    </xf>
    <xf numFmtId="0" fontId="12" fillId="0" borderId="21" xfId="0" applyFont="1" applyBorder="1"/>
    <xf numFmtId="0" fontId="21" fillId="0" borderId="29" xfId="0" applyFont="1" applyFill="1" applyBorder="1" applyAlignment="1">
      <alignment horizontal="center"/>
    </xf>
    <xf numFmtId="0" fontId="12" fillId="0" borderId="0" xfId="0" quotePrefix="1" applyFont="1" applyAlignment="1">
      <alignment horizontal="left" vertical="center"/>
    </xf>
    <xf numFmtId="0" fontId="12" fillId="0" borderId="0" xfId="0" quotePrefix="1" applyFont="1"/>
    <xf numFmtId="0" fontId="8" fillId="0" borderId="8" xfId="0" applyFont="1" applyBorder="1"/>
    <xf numFmtId="0" fontId="2" fillId="0" borderId="6" xfId="0" applyFont="1" applyBorder="1"/>
    <xf numFmtId="0" fontId="24" fillId="8" borderId="23" xfId="0" applyFont="1" applyFill="1" applyBorder="1" applyAlignment="1">
      <alignment horizontal="left" vertical="center"/>
    </xf>
    <xf numFmtId="0" fontId="24" fillId="8" borderId="26" xfId="0" applyFont="1" applyFill="1" applyBorder="1" applyAlignment="1">
      <alignment horizontal="left" vertical="center"/>
    </xf>
    <xf numFmtId="3" fontId="24" fillId="8" borderId="26" xfId="0" applyNumberFormat="1" applyFont="1" applyFill="1" applyBorder="1" applyAlignment="1">
      <alignment horizontal="right" vertical="center"/>
    </xf>
    <xf numFmtId="3" fontId="24" fillId="8" borderId="24" xfId="0" applyNumberFormat="1" applyFont="1" applyFill="1" applyBorder="1" applyAlignment="1">
      <alignment horizontal="right" vertical="center"/>
    </xf>
    <xf numFmtId="0" fontId="18" fillId="9" borderId="23" xfId="0" applyFont="1" applyFill="1" applyBorder="1" applyAlignment="1">
      <alignment horizontal="left" vertical="center"/>
    </xf>
    <xf numFmtId="0" fontId="24" fillId="9" borderId="26" xfId="0" applyFont="1" applyFill="1" applyBorder="1" applyAlignment="1">
      <alignment horizontal="left" vertical="center"/>
    </xf>
    <xf numFmtId="3" fontId="18" fillId="9" borderId="26" xfId="0" applyNumberFormat="1" applyFont="1" applyFill="1" applyBorder="1" applyAlignment="1">
      <alignment horizontal="right" vertical="center"/>
    </xf>
    <xf numFmtId="3" fontId="18" fillId="9" borderId="24" xfId="0" applyNumberFormat="1" applyFont="1" applyFill="1" applyBorder="1" applyAlignment="1">
      <alignment horizontal="right" vertical="center"/>
    </xf>
    <xf numFmtId="3" fontId="5" fillId="11" borderId="16" xfId="0" applyNumberFormat="1" applyFont="1" applyFill="1" applyBorder="1"/>
    <xf numFmtId="3" fontId="5" fillId="11" borderId="17" xfId="0" applyNumberFormat="1" applyFont="1" applyFill="1" applyBorder="1"/>
    <xf numFmtId="0" fontId="0" fillId="0" borderId="0" xfId="0"/>
    <xf numFmtId="3" fontId="5" fillId="11" borderId="18" xfId="0" applyNumberFormat="1" applyFont="1" applyFill="1" applyBorder="1"/>
    <xf numFmtId="0" fontId="4" fillId="0" borderId="21" xfId="0" applyFont="1" applyFill="1" applyBorder="1" applyAlignment="1">
      <alignment horizontal="left" vertical="center" wrapText="1"/>
    </xf>
    <xf numFmtId="0" fontId="4" fillId="0" borderId="23" xfId="0" applyFont="1" applyBorder="1" applyAlignment="1">
      <alignment horizontal="left" vertical="center" wrapText="1"/>
    </xf>
    <xf numFmtId="0" fontId="13" fillId="0" borderId="21" xfId="0" applyFont="1" applyFill="1" applyBorder="1" applyAlignment="1">
      <alignment horizontal="left" vertical="center"/>
    </xf>
    <xf numFmtId="9" fontId="13" fillId="0" borderId="7" xfId="0" applyNumberFormat="1" applyFont="1" applyFill="1" applyBorder="1" applyAlignment="1">
      <alignment horizontal="right" vertical="center"/>
    </xf>
    <xf numFmtId="0" fontId="13" fillId="0" borderId="20" xfId="0" applyFont="1" applyFill="1" applyBorder="1" applyAlignment="1">
      <alignment horizontal="left" vertical="center"/>
    </xf>
    <xf numFmtId="0" fontId="13" fillId="0" borderId="22" xfId="0" applyFont="1" applyFill="1" applyBorder="1" applyAlignment="1">
      <alignment horizontal="left" vertical="center"/>
    </xf>
    <xf numFmtId="0" fontId="20" fillId="0" borderId="19" xfId="0" applyFont="1" applyBorder="1" applyAlignment="1">
      <alignment horizontal="left" vertical="center"/>
    </xf>
    <xf numFmtId="3" fontId="13" fillId="11" borderId="16" xfId="0" applyNumberFormat="1" applyFont="1" applyFill="1" applyBorder="1" applyAlignment="1">
      <alignment horizontal="right" vertical="center"/>
    </xf>
    <xf numFmtId="9" fontId="13" fillId="11" borderId="18" xfId="0" applyNumberFormat="1" applyFont="1" applyFill="1" applyBorder="1" applyAlignment="1">
      <alignment horizontal="right" vertical="center"/>
    </xf>
    <xf numFmtId="0" fontId="0" fillId="0" borderId="0" xfId="0"/>
    <xf numFmtId="0" fontId="24" fillId="8" borderId="24" xfId="0" applyFont="1" applyFill="1" applyBorder="1" applyAlignment="1">
      <alignment horizontal="right" vertical="center"/>
    </xf>
    <xf numFmtId="3" fontId="5" fillId="12" borderId="12" xfId="0" applyNumberFormat="1" applyFont="1" applyFill="1" applyBorder="1"/>
    <xf numFmtId="3" fontId="5" fillId="12" borderId="15" xfId="0" applyNumberFormat="1" applyFont="1" applyFill="1" applyBorder="1"/>
    <xf numFmtId="0" fontId="0" fillId="0" borderId="7" xfId="0" applyBorder="1" applyAlignment="1">
      <alignment vertical="top" wrapText="1"/>
    </xf>
    <xf numFmtId="0" fontId="0" fillId="0" borderId="21" xfId="0" applyBorder="1" applyAlignment="1">
      <alignment vertical="top" wrapText="1"/>
    </xf>
    <xf numFmtId="0" fontId="18" fillId="8" borderId="24" xfId="0" applyFont="1" applyFill="1" applyBorder="1" applyAlignment="1">
      <alignment horizontal="right" vertical="center"/>
    </xf>
    <xf numFmtId="0" fontId="29" fillId="8" borderId="23" xfId="0" applyFont="1" applyFill="1" applyBorder="1" applyAlignment="1">
      <alignment horizontal="left" vertical="center"/>
    </xf>
    <xf numFmtId="0" fontId="12" fillId="0" borderId="31" xfId="0" applyFont="1" applyBorder="1" applyAlignment="1">
      <alignment vertical="top"/>
    </xf>
    <xf numFmtId="0" fontId="0" fillId="0" borderId="31" xfId="0" applyBorder="1" applyAlignment="1">
      <alignment vertical="top"/>
    </xf>
    <xf numFmtId="0" fontId="0" fillId="0" borderId="7" xfId="0" applyBorder="1" applyAlignment="1">
      <alignment vertical="top"/>
    </xf>
    <xf numFmtId="0" fontId="12" fillId="0" borderId="0" xfId="0" applyFont="1" applyAlignment="1">
      <alignment vertical="top" wrapText="1"/>
    </xf>
    <xf numFmtId="0" fontId="0" fillId="0" borderId="0" xfId="0" applyAlignment="1">
      <alignment vertical="top" wrapText="1"/>
    </xf>
    <xf numFmtId="0" fontId="5" fillId="0" borderId="10" xfId="0" applyFont="1" applyBorder="1"/>
    <xf numFmtId="0" fontId="2" fillId="0" borderId="32" xfId="0" applyFont="1" applyBorder="1"/>
    <xf numFmtId="0" fontId="13" fillId="0" borderId="7" xfId="0" applyFont="1" applyFill="1" applyBorder="1" applyAlignment="1">
      <alignment horizontal="right" vertical="center"/>
    </xf>
    <xf numFmtId="0" fontId="13" fillId="0" borderId="10" xfId="0" applyFont="1" applyBorder="1" applyAlignment="1">
      <alignment horizontal="right" vertical="center"/>
    </xf>
    <xf numFmtId="0" fontId="13" fillId="0" borderId="32" xfId="0" applyFont="1" applyBorder="1" applyAlignment="1">
      <alignment horizontal="left" vertical="center"/>
    </xf>
    <xf numFmtId="0" fontId="30" fillId="0" borderId="30" xfId="0" applyFont="1" applyBorder="1" applyAlignment="1">
      <alignment horizontal="left" vertical="center"/>
    </xf>
    <xf numFmtId="0" fontId="31" fillId="0" borderId="23" xfId="0" applyFont="1" applyBorder="1"/>
    <xf numFmtId="0" fontId="24" fillId="0" borderId="7" xfId="0" applyFont="1" applyFill="1" applyBorder="1" applyAlignment="1">
      <alignment horizontal="left" vertical="center"/>
    </xf>
    <xf numFmtId="3" fontId="24" fillId="0" borderId="7" xfId="0" applyNumberFormat="1" applyFont="1" applyFill="1" applyBorder="1" applyAlignment="1">
      <alignment horizontal="right" vertical="center"/>
    </xf>
    <xf numFmtId="0" fontId="0" fillId="0" borderId="21" xfId="0" applyBorder="1" applyAlignment="1">
      <alignment vertical="top"/>
    </xf>
    <xf numFmtId="0" fontId="5" fillId="13" borderId="33" xfId="0" applyFont="1" applyFill="1" applyBorder="1"/>
    <xf numFmtId="3" fontId="13" fillId="12" borderId="12" xfId="0" applyNumberFormat="1" applyFont="1" applyFill="1" applyBorder="1" applyAlignment="1">
      <alignment horizontal="right" vertical="center"/>
    </xf>
    <xf numFmtId="0" fontId="13" fillId="12" borderId="15" xfId="0" applyFont="1" applyFill="1" applyBorder="1" applyAlignment="1">
      <alignment horizontal="right" vertical="center"/>
    </xf>
    <xf numFmtId="0" fontId="13" fillId="13" borderId="33" xfId="0" applyFont="1" applyFill="1" applyBorder="1" applyAlignment="1">
      <alignment horizontal="right" vertical="center"/>
    </xf>
    <xf numFmtId="0" fontId="30" fillId="14" borderId="8" xfId="0" applyFont="1" applyFill="1" applyBorder="1"/>
    <xf numFmtId="0" fontId="30" fillId="14" borderId="24" xfId="0" applyFont="1" applyFill="1" applyBorder="1" applyAlignment="1">
      <alignment horizontal="right" vertical="center"/>
    </xf>
    <xf numFmtId="164" fontId="2" fillId="13" borderId="7" xfId="0" applyNumberFormat="1" applyFont="1" applyFill="1" applyBorder="1" applyAlignment="1">
      <alignment horizontal="right" vertical="center" wrapText="1"/>
    </xf>
    <xf numFmtId="164" fontId="13" fillId="13" borderId="17" xfId="0" applyNumberFormat="1" applyFont="1" applyFill="1" applyBorder="1" applyAlignment="1">
      <alignment horizontal="right" vertical="center"/>
    </xf>
    <xf numFmtId="0" fontId="13" fillId="13" borderId="17" xfId="0" applyFont="1" applyFill="1" applyBorder="1" applyAlignment="1">
      <alignment horizontal="right" vertical="center"/>
    </xf>
    <xf numFmtId="164" fontId="13" fillId="13" borderId="16" xfId="0" applyNumberFormat="1" applyFont="1" applyFill="1" applyBorder="1" applyAlignment="1">
      <alignment horizontal="right" vertical="center"/>
    </xf>
    <xf numFmtId="0" fontId="13" fillId="13" borderId="16" xfId="0" applyFont="1" applyFill="1" applyBorder="1" applyAlignment="1">
      <alignment horizontal="right" vertical="center"/>
    </xf>
    <xf numFmtId="164" fontId="13" fillId="13" borderId="18" xfId="0" applyNumberFormat="1" applyFont="1" applyFill="1" applyBorder="1" applyAlignment="1">
      <alignment horizontal="right" vertical="center"/>
    </xf>
    <xf numFmtId="0" fontId="13" fillId="13" borderId="18" xfId="0" applyFont="1" applyFill="1" applyBorder="1" applyAlignment="1">
      <alignment horizontal="right" vertical="center"/>
    </xf>
    <xf numFmtId="3" fontId="5" fillId="10" borderId="16" xfId="0" applyNumberFormat="1" applyFont="1" applyFill="1" applyBorder="1" applyProtection="1">
      <protection locked="0"/>
    </xf>
    <xf numFmtId="3" fontId="5" fillId="10" borderId="17" xfId="0" applyNumberFormat="1" applyFont="1" applyFill="1" applyBorder="1" applyProtection="1">
      <protection locked="0"/>
    </xf>
    <xf numFmtId="9" fontId="5" fillId="10" borderId="18" xfId="0" applyNumberFormat="1" applyFont="1" applyFill="1" applyBorder="1" applyProtection="1">
      <protection locked="0"/>
    </xf>
    <xf numFmtId="164" fontId="13" fillId="7" borderId="17" xfId="0" applyNumberFormat="1" applyFont="1" applyFill="1" applyBorder="1" applyProtection="1">
      <protection locked="0"/>
    </xf>
    <xf numFmtId="165" fontId="13" fillId="7" borderId="18" xfId="0" applyNumberFormat="1" applyFont="1" applyFill="1" applyBorder="1" applyProtection="1">
      <protection locked="0"/>
    </xf>
    <xf numFmtId="9" fontId="13" fillId="7" borderId="25" xfId="0" applyNumberFormat="1" applyFont="1" applyFill="1" applyBorder="1" applyAlignment="1" applyProtection="1">
      <alignment horizontal="right" vertical="center"/>
      <protection locked="0"/>
    </xf>
    <xf numFmtId="0" fontId="12" fillId="0" borderId="7" xfId="0" applyFont="1" applyBorder="1" applyAlignment="1">
      <alignment vertical="top" wrapText="1"/>
    </xf>
    <xf numFmtId="0" fontId="5" fillId="0" borderId="7" xfId="0" applyFont="1" applyBorder="1" applyAlignment="1">
      <alignment horizontal="right"/>
    </xf>
    <xf numFmtId="0" fontId="12" fillId="0" borderId="21" xfId="0" applyFont="1" applyBorder="1" applyAlignment="1">
      <alignment vertical="top" wrapText="1"/>
    </xf>
    <xf numFmtId="164" fontId="5" fillId="0" borderId="7" xfId="0" applyNumberFormat="1" applyFont="1" applyBorder="1" applyAlignment="1">
      <alignment horizontal="right"/>
    </xf>
    <xf numFmtId="0" fontId="7" fillId="3" borderId="30" xfId="0" applyFont="1" applyFill="1" applyBorder="1" applyAlignment="1">
      <alignment horizontal="left" vertical="center" wrapText="1"/>
    </xf>
    <xf numFmtId="0" fontId="5" fillId="5" borderId="26" xfId="0" applyFont="1" applyFill="1" applyBorder="1" applyAlignment="1">
      <alignment horizontal="right"/>
    </xf>
    <xf numFmtId="0" fontId="5" fillId="5" borderId="24" xfId="0" applyFont="1" applyFill="1" applyBorder="1" applyAlignment="1">
      <alignment horizontal="right"/>
    </xf>
    <xf numFmtId="164" fontId="2" fillId="13" borderId="34" xfId="0" applyNumberFormat="1" applyFont="1" applyFill="1" applyBorder="1" applyAlignment="1">
      <alignment horizontal="right" vertical="center" wrapText="1"/>
    </xf>
    <xf numFmtId="164" fontId="2" fillId="13" borderId="31" xfId="0" applyNumberFormat="1" applyFont="1" applyFill="1" applyBorder="1" applyAlignment="1">
      <alignment horizontal="right" vertical="center" wrapText="1"/>
    </xf>
    <xf numFmtId="1" fontId="2" fillId="13" borderId="31" xfId="0" applyNumberFormat="1" applyFont="1" applyFill="1" applyBorder="1" applyAlignment="1">
      <alignment horizontal="right" vertical="center" wrapText="1"/>
    </xf>
    <xf numFmtId="164" fontId="2" fillId="13" borderId="21" xfId="0" applyNumberFormat="1" applyFont="1" applyFill="1" applyBorder="1" applyAlignment="1">
      <alignment horizontal="right" vertical="center" wrapText="1"/>
    </xf>
    <xf numFmtId="1" fontId="2" fillId="13" borderId="7" xfId="0" applyNumberFormat="1" applyFont="1" applyFill="1" applyBorder="1" applyAlignment="1">
      <alignment horizontal="right" vertical="center" wrapText="1"/>
    </xf>
    <xf numFmtId="0" fontId="2" fillId="13" borderId="21" xfId="0" applyFont="1" applyFill="1" applyBorder="1" applyAlignment="1">
      <alignment horizontal="right" vertical="center" wrapText="1"/>
    </xf>
    <xf numFmtId="0" fontId="2" fillId="13" borderId="7" xfId="0" applyFont="1" applyFill="1" applyBorder="1" applyAlignment="1">
      <alignment horizontal="right" vertical="center" wrapText="1"/>
    </xf>
    <xf numFmtId="0" fontId="5" fillId="0" borderId="12" xfId="0" applyFont="1" applyBorder="1" applyAlignment="1">
      <alignment horizontal="right"/>
    </xf>
    <xf numFmtId="0" fontId="2" fillId="13" borderId="22" xfId="0" applyFont="1" applyFill="1" applyBorder="1" applyAlignment="1">
      <alignment horizontal="right" vertical="center" wrapText="1"/>
    </xf>
    <xf numFmtId="0" fontId="2" fillId="13" borderId="36" xfId="0" applyFont="1" applyFill="1" applyBorder="1" applyAlignment="1">
      <alignment horizontal="right" vertical="center" wrapText="1"/>
    </xf>
    <xf numFmtId="49" fontId="2" fillId="0" borderId="21" xfId="0" applyNumberFormat="1" applyFont="1" applyFill="1" applyBorder="1" applyAlignment="1">
      <alignment horizontal="left" vertical="center" wrapText="1"/>
    </xf>
    <xf numFmtId="0" fontId="10" fillId="0" borderId="21" xfId="0" applyFont="1" applyFill="1" applyBorder="1" applyAlignment="1">
      <alignment horizontal="left"/>
    </xf>
    <xf numFmtId="0" fontId="10" fillId="0" borderId="37" xfId="0" applyFont="1" applyBorder="1" applyAlignment="1">
      <alignment horizontal="left"/>
    </xf>
    <xf numFmtId="0" fontId="7" fillId="4" borderId="21" xfId="0" applyFont="1" applyFill="1" applyBorder="1" applyAlignment="1">
      <alignment horizontal="left" vertical="center" wrapText="1"/>
    </xf>
    <xf numFmtId="0" fontId="6" fillId="0" borderId="21" xfId="0" applyFont="1" applyBorder="1" applyAlignment="1">
      <alignment horizontal="left" vertical="center" wrapText="1"/>
    </xf>
    <xf numFmtId="0" fontId="9" fillId="6" borderId="22" xfId="0" applyFont="1" applyFill="1" applyBorder="1" applyAlignment="1">
      <alignment horizontal="left"/>
    </xf>
    <xf numFmtId="0" fontId="5" fillId="6" borderId="36" xfId="0" applyFont="1" applyFill="1" applyBorder="1" applyAlignment="1">
      <alignment horizontal="right"/>
    </xf>
    <xf numFmtId="3" fontId="8" fillId="6" borderId="36" xfId="0" applyNumberFormat="1" applyFont="1" applyFill="1" applyBorder="1" applyAlignment="1">
      <alignment horizontal="right"/>
    </xf>
    <xf numFmtId="3" fontId="8" fillId="6" borderId="15" xfId="0" applyNumberFormat="1" applyFont="1" applyFill="1" applyBorder="1" applyAlignment="1">
      <alignment horizontal="right"/>
    </xf>
    <xf numFmtId="0" fontId="12" fillId="0" borderId="7" xfId="0" applyFont="1" applyBorder="1" applyAlignment="1">
      <alignment horizontal="right"/>
    </xf>
    <xf numFmtId="0" fontId="2" fillId="0" borderId="31" xfId="0" applyFont="1" applyFill="1" applyBorder="1" applyAlignment="1">
      <alignment horizontal="right" vertical="center" wrapText="1"/>
    </xf>
    <xf numFmtId="0" fontId="2" fillId="0" borderId="35" xfId="0" applyFont="1" applyFill="1" applyBorder="1" applyAlignment="1">
      <alignment horizontal="right" vertical="center" wrapText="1"/>
    </xf>
    <xf numFmtId="0" fontId="2" fillId="0" borderId="7" xfId="0" applyFont="1" applyFill="1" applyBorder="1" applyAlignment="1">
      <alignment horizontal="right" vertical="center" wrapText="1"/>
    </xf>
    <xf numFmtId="0" fontId="2" fillId="0" borderId="12" xfId="0" applyFont="1" applyFill="1" applyBorder="1" applyAlignment="1">
      <alignment horizontal="right" vertical="center" wrapText="1"/>
    </xf>
    <xf numFmtId="0" fontId="5" fillId="0" borderId="12" xfId="0" applyFont="1" applyFill="1" applyBorder="1" applyAlignment="1">
      <alignment horizontal="right"/>
    </xf>
    <xf numFmtId="0" fontId="2" fillId="0" borderId="36" xfId="0" applyFont="1" applyFill="1" applyBorder="1" applyAlignment="1">
      <alignment horizontal="right" vertical="center" wrapText="1"/>
    </xf>
    <xf numFmtId="0" fontId="5" fillId="0" borderId="15" xfId="0" applyFont="1" applyFill="1" applyBorder="1" applyAlignment="1">
      <alignment horizontal="right"/>
    </xf>
    <xf numFmtId="164" fontId="13" fillId="0" borderId="7" xfId="0" applyNumberFormat="1" applyFont="1" applyBorder="1" applyAlignment="1">
      <alignment horizontal="right" vertical="center"/>
    </xf>
    <xf numFmtId="0" fontId="21" fillId="4" borderId="21" xfId="0" applyFont="1" applyFill="1" applyBorder="1" applyAlignment="1">
      <alignment horizontal="left" vertical="center"/>
    </xf>
    <xf numFmtId="0" fontId="21" fillId="3" borderId="39" xfId="0" applyFont="1" applyFill="1" applyBorder="1" applyAlignment="1">
      <alignment horizontal="left" vertical="center"/>
    </xf>
    <xf numFmtId="0" fontId="13" fillId="5" borderId="38" xfId="0" applyFont="1" applyFill="1" applyBorder="1" applyAlignment="1">
      <alignment horizontal="left" vertical="center"/>
    </xf>
    <xf numFmtId="0" fontId="12" fillId="0" borderId="21" xfId="0" applyFont="1" applyBorder="1" applyAlignment="1">
      <alignment horizontal="left" vertical="center"/>
    </xf>
    <xf numFmtId="0" fontId="13" fillId="0" borderId="7" xfId="0" applyFont="1" applyBorder="1" applyAlignment="1">
      <alignment horizontal="left" vertical="center"/>
    </xf>
    <xf numFmtId="0" fontId="13" fillId="0" borderId="12" xfId="0" applyFont="1" applyBorder="1" applyAlignment="1">
      <alignment horizontal="right" vertical="center"/>
    </xf>
    <xf numFmtId="0" fontId="22" fillId="6" borderId="37" xfId="0" applyFont="1" applyFill="1" applyBorder="1" applyAlignment="1">
      <alignment horizontal="left" vertical="center"/>
    </xf>
    <xf numFmtId="3" fontId="22" fillId="6" borderId="40" xfId="0" applyNumberFormat="1" applyFont="1" applyFill="1" applyBorder="1" applyAlignment="1">
      <alignment horizontal="right" vertical="center"/>
    </xf>
    <xf numFmtId="0" fontId="12" fillId="0" borderId="7" xfId="0" applyFont="1" applyBorder="1" applyAlignment="1">
      <alignment horizontal="left" vertical="center"/>
    </xf>
    <xf numFmtId="0" fontId="21" fillId="0" borderId="41" xfId="0" applyFont="1" applyFill="1" applyBorder="1" applyAlignment="1">
      <alignment horizontal="center" vertical="center"/>
    </xf>
    <xf numFmtId="0" fontId="21" fillId="0" borderId="26" xfId="0" applyFont="1" applyFill="1" applyBorder="1" applyAlignment="1">
      <alignment horizontal="center" vertical="center"/>
    </xf>
    <xf numFmtId="0" fontId="21" fillId="0" borderId="24" xfId="0" applyFont="1" applyFill="1" applyBorder="1" applyAlignment="1">
      <alignment horizontal="center" vertical="center"/>
    </xf>
    <xf numFmtId="0" fontId="12" fillId="0" borderId="7" xfId="0" applyFont="1" applyBorder="1" applyAlignment="1">
      <alignment vertical="top"/>
    </xf>
    <xf numFmtId="0" fontId="12" fillId="0" borderId="21" xfId="0" applyFont="1" applyBorder="1" applyAlignment="1">
      <alignment horizontal="center" vertical="top" wrapText="1"/>
    </xf>
    <xf numFmtId="0" fontId="12" fillId="0" borderId="7" xfId="0" applyFont="1" applyBorder="1" applyAlignment="1">
      <alignment horizontal="center" vertical="top" wrapText="1"/>
    </xf>
    <xf numFmtId="0" fontId="12" fillId="0" borderId="0" xfId="0" applyFont="1" applyAlignment="1">
      <alignment horizontal="center" vertical="top" wrapText="1"/>
    </xf>
    <xf numFmtId="0" fontId="12" fillId="0" borderId="23" xfId="0" applyFont="1" applyBorder="1" applyAlignment="1">
      <alignment horizontal="center"/>
    </xf>
    <xf numFmtId="0" fontId="12" fillId="0" borderId="26" xfId="0" applyFont="1" applyBorder="1" applyAlignment="1">
      <alignment horizontal="center"/>
    </xf>
    <xf numFmtId="0" fontId="12" fillId="0" borderId="24" xfId="0" applyFont="1" applyBorder="1" applyAlignment="1">
      <alignment horizontal="center"/>
    </xf>
    <xf numFmtId="0" fontId="0" fillId="0" borderId="7" xfId="0" applyBorder="1" applyAlignment="1">
      <alignment horizontal="center" vertical="top"/>
    </xf>
    <xf numFmtId="0" fontId="0" fillId="0" borderId="21" xfId="0" applyBorder="1" applyAlignment="1">
      <alignment horizontal="center" vertical="top"/>
    </xf>
    <xf numFmtId="0" fontId="20" fillId="5" borderId="16" xfId="0" applyFont="1" applyFill="1" applyBorder="1" applyAlignment="1">
      <alignment horizontal="center" vertical="center" wrapText="1"/>
    </xf>
    <xf numFmtId="0" fontId="20" fillId="5" borderId="17" xfId="0" applyFont="1" applyFill="1" applyBorder="1" applyAlignment="1">
      <alignment horizontal="center" vertical="center" wrapText="1"/>
    </xf>
    <xf numFmtId="0" fontId="20" fillId="5" borderId="18" xfId="0" applyFont="1" applyFill="1" applyBorder="1" applyAlignment="1">
      <alignment horizontal="center" vertical="center" wrapText="1"/>
    </xf>
    <xf numFmtId="0" fontId="12" fillId="0" borderId="21" xfId="0" applyFont="1" applyBorder="1" applyAlignment="1">
      <alignment horizontal="center" vertical="top"/>
    </xf>
    <xf numFmtId="0" fontId="12" fillId="0" borderId="7" xfId="0" applyFont="1" applyBorder="1" applyAlignment="1">
      <alignment horizontal="center" vertical="top"/>
    </xf>
    <xf numFmtId="0" fontId="20" fillId="5" borderId="16" xfId="0" applyFont="1" applyFill="1" applyBorder="1" applyAlignment="1">
      <alignment horizontal="center" vertical="center"/>
    </xf>
    <xf numFmtId="0" fontId="20" fillId="5" borderId="17" xfId="0" applyFont="1" applyFill="1" applyBorder="1" applyAlignment="1">
      <alignment horizontal="center" vertical="center"/>
    </xf>
    <xf numFmtId="0" fontId="20" fillId="5" borderId="18" xfId="0" applyFont="1" applyFill="1" applyBorder="1" applyAlignment="1">
      <alignment horizontal="center" vertical="center"/>
    </xf>
    <xf numFmtId="49" fontId="20" fillId="5" borderId="16" xfId="0" applyNumberFormat="1" applyFont="1" applyFill="1" applyBorder="1" applyAlignment="1">
      <alignment horizontal="center" vertical="center" wrapText="1"/>
    </xf>
    <xf numFmtId="49" fontId="20" fillId="5" borderId="17" xfId="0" applyNumberFormat="1" applyFont="1" applyFill="1" applyBorder="1" applyAlignment="1">
      <alignment horizontal="center" vertical="center" wrapText="1"/>
    </xf>
    <xf numFmtId="49" fontId="20" fillId="5" borderId="18" xfId="0" applyNumberFormat="1" applyFont="1" applyFill="1" applyBorder="1" applyAlignment="1">
      <alignment horizontal="center" vertical="center" wrapText="1"/>
    </xf>
    <xf numFmtId="0" fontId="0" fillId="0" borderId="26" xfId="0" applyBorder="1" applyAlignment="1">
      <alignment horizontal="center"/>
    </xf>
    <xf numFmtId="0" fontId="0" fillId="0" borderId="2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4BABC-78A9-4E7D-9E74-0AD985310F39}">
  <dimension ref="A1:M24"/>
  <sheetViews>
    <sheetView zoomScale="85" zoomScaleNormal="85" workbookViewId="0">
      <selection activeCell="H23" sqref="H23"/>
    </sheetView>
  </sheetViews>
  <sheetFormatPr defaultRowHeight="12.75"/>
  <cols>
    <col min="1" max="1" width="74.5703125" customWidth="1"/>
    <col min="2" max="2" width="20.140625" style="8" customWidth="1"/>
    <col min="3" max="3" width="20.5703125" style="8" customWidth="1"/>
    <col min="4" max="4" width="11.140625" customWidth="1"/>
    <col min="5" max="5" width="14.5703125" customWidth="1"/>
    <col min="6" max="6" width="12.5703125" customWidth="1"/>
    <col min="9" max="9" width="10.42578125" customWidth="1"/>
  </cols>
  <sheetData>
    <row r="1" spans="1:13" ht="18.75" thickBot="1">
      <c r="A1" s="1" t="s">
        <v>52</v>
      </c>
    </row>
    <row r="2" spans="1:13" ht="13.5" thickBot="1">
      <c r="A2" s="11" t="s">
        <v>53</v>
      </c>
      <c r="B2" s="63"/>
      <c r="C2" s="63"/>
    </row>
    <row r="3" spans="1:13" s="8" customFormat="1" ht="20.25">
      <c r="A3" s="62"/>
      <c r="B3" s="63"/>
      <c r="C3" s="63"/>
      <c r="I3" s="64"/>
    </row>
    <row r="5" spans="1:13" s="8" customFormat="1" ht="13.5" thickBot="1">
      <c r="A5" s="56" t="s">
        <v>4</v>
      </c>
    </row>
    <row r="6" spans="1:13" s="8" customFormat="1" ht="13.5" customHeight="1" thickBot="1">
      <c r="A6" s="50" t="s">
        <v>58</v>
      </c>
      <c r="B6" s="55" t="s">
        <v>5</v>
      </c>
      <c r="C6" s="97"/>
      <c r="D6" s="96"/>
      <c r="E6" s="96"/>
      <c r="F6" s="96"/>
    </row>
    <row r="7" spans="1:13" s="8" customFormat="1" ht="12.75" customHeight="1">
      <c r="A7" s="49" t="s">
        <v>46</v>
      </c>
      <c r="B7" s="128">
        <v>100000000</v>
      </c>
      <c r="C7" s="182" t="s">
        <v>77</v>
      </c>
      <c r="D7" s="183"/>
      <c r="E7" s="183"/>
      <c r="F7" s="96"/>
    </row>
    <row r="8" spans="1:13" s="8" customFormat="1">
      <c r="A8" s="65" t="s">
        <v>54</v>
      </c>
      <c r="B8" s="129">
        <v>5000</v>
      </c>
      <c r="C8" s="182"/>
      <c r="D8" s="183"/>
      <c r="E8" s="183"/>
      <c r="F8" s="96"/>
    </row>
    <row r="9" spans="1:13" s="8" customFormat="1">
      <c r="A9" s="65" t="s">
        <v>78</v>
      </c>
      <c r="B9" s="129">
        <v>50</v>
      </c>
      <c r="C9" s="182"/>
      <c r="D9" s="183"/>
      <c r="E9" s="183"/>
      <c r="F9" s="96"/>
    </row>
    <row r="10" spans="1:13" s="8" customFormat="1" ht="13.5" thickBot="1">
      <c r="A10" s="59" t="s">
        <v>36</v>
      </c>
      <c r="B10" s="130">
        <v>0.1</v>
      </c>
      <c r="C10" s="182"/>
      <c r="D10" s="183"/>
      <c r="E10" s="183"/>
      <c r="F10" s="96"/>
    </row>
    <row r="11" spans="1:13" s="8" customFormat="1">
      <c r="C11" s="44"/>
    </row>
    <row r="12" spans="1:13" s="8" customFormat="1">
      <c r="A12" s="58"/>
      <c r="B12" s="60"/>
    </row>
    <row r="13" spans="1:13" s="8" customFormat="1" ht="13.5" thickBot="1"/>
    <row r="14" spans="1:13" ht="13.5" customHeight="1" thickBot="1">
      <c r="A14" s="51" t="s">
        <v>47</v>
      </c>
      <c r="B14" s="52" t="s">
        <v>51</v>
      </c>
      <c r="C14" s="66" t="s">
        <v>55</v>
      </c>
      <c r="D14" s="178" t="s">
        <v>45</v>
      </c>
      <c r="E14" s="179" t="s">
        <v>50</v>
      </c>
      <c r="F14" s="180" t="s">
        <v>32</v>
      </c>
      <c r="G14" s="184" t="s">
        <v>62</v>
      </c>
      <c r="H14" s="184"/>
      <c r="I14" s="184"/>
      <c r="J14" s="104"/>
      <c r="K14" s="103"/>
      <c r="L14" s="103"/>
      <c r="M14" s="103"/>
    </row>
    <row r="15" spans="1:13">
      <c r="A15" s="49" t="s">
        <v>48</v>
      </c>
      <c r="B15" s="60">
        <f>'Registrations Upload &amp; SyncData'!B17</f>
        <v>250000</v>
      </c>
      <c r="C15" s="61">
        <f>'Registrations Upload &amp; SyncData'!B19</f>
        <v>84</v>
      </c>
      <c r="D15" s="61">
        <f>'Registrations Upload &amp; SyncData'!E29</f>
        <v>102</v>
      </c>
      <c r="E15" s="61">
        <f>'Registrations Upload &amp; SyncData'!F29</f>
        <v>278</v>
      </c>
      <c r="F15" s="61">
        <f>'Registrations Upload &amp; SyncData'!G29</f>
        <v>127</v>
      </c>
      <c r="G15" s="184"/>
      <c r="H15" s="184"/>
      <c r="I15" s="184"/>
      <c r="J15" s="104"/>
      <c r="K15" s="103"/>
      <c r="L15" s="103"/>
      <c r="M15" s="103"/>
    </row>
    <row r="16" spans="1:13" ht="13.5" thickBot="1">
      <c r="A16" s="49" t="s">
        <v>49</v>
      </c>
      <c r="B16" s="60">
        <f>IDAuthentication!B16</f>
        <v>10000000</v>
      </c>
      <c r="C16" s="61">
        <f>IDAuthentication!B18</f>
        <v>223</v>
      </c>
      <c r="D16" s="61">
        <f>IDAuthentication!E27</f>
        <v>87</v>
      </c>
      <c r="E16" s="61">
        <f>IDAuthentication!F27</f>
        <v>295</v>
      </c>
      <c r="F16" s="61">
        <f>IDAuthentication!G27</f>
        <v>87</v>
      </c>
      <c r="G16" s="184"/>
      <c r="H16" s="184"/>
      <c r="I16" s="184"/>
      <c r="J16" s="104"/>
      <c r="K16" s="103"/>
      <c r="L16" s="103"/>
      <c r="M16" s="103"/>
    </row>
    <row r="17" spans="1:13" ht="21" thickBot="1">
      <c r="A17" s="75" t="s">
        <v>56</v>
      </c>
      <c r="B17" s="76"/>
      <c r="C17" s="76"/>
      <c r="D17" s="77">
        <f>SUM(D15:D16)</f>
        <v>189</v>
      </c>
      <c r="E17" s="77">
        <f>SUM(E15:E16)</f>
        <v>573</v>
      </c>
      <c r="F17" s="78">
        <f>SUM(F15:F16)</f>
        <v>214</v>
      </c>
      <c r="G17" s="184"/>
      <c r="H17" s="184"/>
      <c r="I17" s="184"/>
      <c r="J17" s="104"/>
      <c r="K17" s="103"/>
      <c r="L17" s="103"/>
      <c r="M17" s="103"/>
    </row>
    <row r="18" spans="1:13" ht="13.5" thickBot="1">
      <c r="A18" s="44"/>
      <c r="B18" s="44"/>
      <c r="C18" s="181"/>
      <c r="D18" s="102"/>
      <c r="E18" s="102"/>
      <c r="F18" s="102"/>
      <c r="G18" s="184"/>
      <c r="H18" s="184"/>
      <c r="I18" s="184"/>
      <c r="J18" s="104"/>
      <c r="K18" s="104"/>
    </row>
    <row r="19" spans="1:13" s="81" customFormat="1" ht="21" thickBot="1">
      <c r="A19" s="99" t="s">
        <v>17</v>
      </c>
      <c r="B19" s="98">
        <f>'Registrations Upload &amp; SyncData'!B27</f>
        <v>400</v>
      </c>
      <c r="C19" s="102"/>
      <c r="D19" s="102"/>
      <c r="E19" s="102"/>
      <c r="F19" s="102"/>
      <c r="G19" s="184"/>
      <c r="H19" s="184"/>
      <c r="I19" s="184"/>
      <c r="J19" s="104"/>
      <c r="K19" s="104"/>
    </row>
    <row r="20" spans="1:13">
      <c r="A20" s="100"/>
      <c r="B20" s="101"/>
      <c r="C20" s="102"/>
      <c r="D20" s="102"/>
      <c r="E20" s="102"/>
      <c r="F20" s="102"/>
    </row>
    <row r="21" spans="1:13" ht="15" customHeight="1">
      <c r="A21" s="102"/>
      <c r="B21" s="102"/>
    </row>
    <row r="24" spans="1:13">
      <c r="A24" s="3" t="s">
        <v>79</v>
      </c>
    </row>
  </sheetData>
  <mergeCells count="2">
    <mergeCell ref="C7:E10"/>
    <mergeCell ref="G14:I19"/>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D41A7-6CC5-4AAA-B67C-70DDBA5BBC74}">
  <dimension ref="A1:K56"/>
  <sheetViews>
    <sheetView tabSelected="1" topLeftCell="A22" zoomScale="70" zoomScaleNormal="70" workbookViewId="0">
      <selection activeCell="D16" sqref="D16"/>
    </sheetView>
  </sheetViews>
  <sheetFormatPr defaultColWidth="8.85546875" defaultRowHeight="12.75"/>
  <cols>
    <col min="1" max="1" width="80.28515625" customWidth="1"/>
    <col min="2" max="2" width="15.140625" customWidth="1"/>
    <col min="3" max="3" width="11.85546875" customWidth="1"/>
    <col min="4" max="4" width="10.140625" bestFit="1" customWidth="1"/>
    <col min="5" max="5" width="13.5703125" customWidth="1"/>
    <col min="6" max="6" width="13.85546875" customWidth="1"/>
    <col min="7" max="7" width="13" bestFit="1" customWidth="1"/>
    <col min="11" max="11" width="17.42578125" customWidth="1"/>
  </cols>
  <sheetData>
    <row r="1" spans="1:11" ht="18.75" thickBot="1">
      <c r="A1" s="1" t="s">
        <v>16</v>
      </c>
    </row>
    <row r="2" spans="1:11" ht="13.5" thickBot="1">
      <c r="A2" s="11" t="s">
        <v>23</v>
      </c>
    </row>
    <row r="5" spans="1:11" ht="13.5" thickBot="1">
      <c r="A5" s="2" t="s">
        <v>4</v>
      </c>
      <c r="K5" s="3"/>
    </row>
    <row r="6" spans="1:11" ht="13.5" thickBot="1">
      <c r="A6" s="50" t="s">
        <v>58</v>
      </c>
      <c r="B6" s="6" t="s">
        <v>5</v>
      </c>
    </row>
    <row r="7" spans="1:11" ht="12.75" customHeight="1">
      <c r="A7" s="46" t="s">
        <v>46</v>
      </c>
      <c r="B7" s="79">
        <f>Summary!B7</f>
        <v>100000000</v>
      </c>
      <c r="C7" s="182" t="s">
        <v>68</v>
      </c>
      <c r="D7" s="188"/>
      <c r="G7" s="104"/>
    </row>
    <row r="8" spans="1:11">
      <c r="A8" s="47" t="s">
        <v>54</v>
      </c>
      <c r="B8" s="80">
        <f>Summary!B8</f>
        <v>5000</v>
      </c>
      <c r="C8" s="189"/>
      <c r="D8" s="188"/>
      <c r="G8" s="104"/>
    </row>
    <row r="9" spans="1:11" ht="13.5" thickBot="1">
      <c r="A9" s="48" t="s">
        <v>78</v>
      </c>
      <c r="B9" s="82">
        <f>Summary!B9</f>
        <v>50</v>
      </c>
      <c r="C9" s="189"/>
      <c r="D9" s="188"/>
      <c r="G9" s="104"/>
      <c r="K9" s="3"/>
    </row>
    <row r="10" spans="1:11" s="9" customFormat="1">
      <c r="A10" s="47"/>
      <c r="B10" s="60"/>
      <c r="K10" s="3"/>
    </row>
    <row r="11" spans="1:11" s="9" customFormat="1" ht="13.5" thickBot="1">
      <c r="A11" s="83" t="s">
        <v>59</v>
      </c>
      <c r="B11" s="60"/>
      <c r="K11" s="3"/>
    </row>
    <row r="12" spans="1:11" s="9" customFormat="1" ht="13.5" thickBot="1">
      <c r="A12" s="84" t="s">
        <v>67</v>
      </c>
      <c r="B12" s="69" t="s">
        <v>5</v>
      </c>
      <c r="K12" s="3"/>
    </row>
    <row r="13" spans="1:11" ht="13.5" customHeight="1">
      <c r="A13" s="47" t="s">
        <v>19</v>
      </c>
      <c r="B13" s="131">
        <v>1</v>
      </c>
      <c r="C13" s="193" t="s">
        <v>69</v>
      </c>
      <c r="D13" s="194"/>
      <c r="E13" s="194"/>
      <c r="F13" s="194"/>
      <c r="G13" s="194"/>
    </row>
    <row r="14" spans="1:11" ht="13.5" thickBot="1">
      <c r="A14" s="48" t="s">
        <v>18</v>
      </c>
      <c r="B14" s="132">
        <v>1.2</v>
      </c>
      <c r="C14" s="136"/>
      <c r="D14" s="134"/>
      <c r="G14" s="134"/>
    </row>
    <row r="15" spans="1:11" ht="13.5" thickBot="1"/>
    <row r="16" spans="1:11" ht="13.5" thickBot="1">
      <c r="A16" s="57" t="s">
        <v>70</v>
      </c>
      <c r="B16" s="4" t="s">
        <v>5</v>
      </c>
    </row>
    <row r="17" spans="1:10" s="8" customFormat="1">
      <c r="A17" s="7" t="s">
        <v>60</v>
      </c>
      <c r="B17" s="94">
        <f>B8*B9</f>
        <v>250000</v>
      </c>
    </row>
    <row r="18" spans="1:10" s="8" customFormat="1">
      <c r="A18" s="7" t="s">
        <v>57</v>
      </c>
      <c r="B18" s="94">
        <f>B17*B14</f>
        <v>300000</v>
      </c>
    </row>
    <row r="19" spans="1:10" ht="13.5" thickBot="1">
      <c r="A19" s="5" t="s">
        <v>61</v>
      </c>
      <c r="B19" s="95">
        <f>CEILING(B18/B13/3600,1)</f>
        <v>84</v>
      </c>
    </row>
    <row r="20" spans="1:10" ht="13.5" thickBot="1">
      <c r="J20" s="3"/>
    </row>
    <row r="21" spans="1:10" ht="13.5" thickBot="1">
      <c r="A21" s="57" t="s">
        <v>63</v>
      </c>
      <c r="B21" s="105"/>
    </row>
    <row r="22" spans="1:10" ht="13.5" thickBot="1">
      <c r="A22" s="106" t="s">
        <v>15</v>
      </c>
      <c r="B22" s="115">
        <v>17</v>
      </c>
      <c r="D22" s="3"/>
    </row>
    <row r="23" spans="1:10" s="81" customFormat="1" ht="13.5" thickBot="1">
      <c r="A23" s="70"/>
      <c r="B23" s="61"/>
      <c r="D23" s="3"/>
    </row>
    <row r="24" spans="1:10" ht="18.75" thickBot="1">
      <c r="A24" s="111" t="s">
        <v>80</v>
      </c>
      <c r="B24" s="119">
        <f>CEILING(B19/B22,1)</f>
        <v>5</v>
      </c>
    </row>
    <row r="26" spans="1:10" s="81" customFormat="1" ht="13.5" thickBot="1"/>
    <row r="27" spans="1:10" s="8" customFormat="1" ht="21" thickBot="1">
      <c r="A27" s="71" t="s">
        <v>17</v>
      </c>
      <c r="B27" s="93">
        <f>CEILING(B7/B17,1)</f>
        <v>400</v>
      </c>
    </row>
    <row r="28" spans="1:10" s="8" customFormat="1" ht="13.5" thickBot="1">
      <c r="A28" s="44"/>
      <c r="B28" s="44"/>
      <c r="C28" s="44"/>
      <c r="D28" s="44"/>
      <c r="E28" s="45" t="s">
        <v>45</v>
      </c>
      <c r="F28" s="45" t="s">
        <v>34</v>
      </c>
      <c r="G28" s="45" t="s">
        <v>32</v>
      </c>
    </row>
    <row r="29" spans="1:10" ht="21" thickBot="1">
      <c r="A29" s="71" t="s">
        <v>11</v>
      </c>
      <c r="B29" s="72"/>
      <c r="C29" s="72"/>
      <c r="D29" s="72"/>
      <c r="E29" s="73">
        <f>E53</f>
        <v>102</v>
      </c>
      <c r="F29" s="73">
        <f>F53</f>
        <v>278</v>
      </c>
      <c r="G29" s="74">
        <f>G53</f>
        <v>127</v>
      </c>
    </row>
    <row r="30" spans="1:10" s="81" customFormat="1" ht="20.25">
      <c r="A30" s="112"/>
      <c r="B30" s="112"/>
      <c r="C30" s="112"/>
      <c r="D30" s="112"/>
      <c r="E30" s="113"/>
      <c r="F30" s="113"/>
      <c r="G30" s="113"/>
    </row>
    <row r="31" spans="1:10" ht="13.5" thickBot="1">
      <c r="A31" s="18" t="s">
        <v>65</v>
      </c>
      <c r="B31" s="3"/>
      <c r="C31" s="81"/>
      <c r="D31" s="81"/>
      <c r="E31" s="81"/>
      <c r="F31" s="81"/>
      <c r="G31" s="81"/>
    </row>
    <row r="32" spans="1:10" ht="13.5" thickBot="1">
      <c r="A32" s="18"/>
      <c r="B32" s="185" t="s">
        <v>64</v>
      </c>
      <c r="C32" s="186"/>
      <c r="D32" s="186"/>
      <c r="E32" s="185" t="s">
        <v>66</v>
      </c>
      <c r="F32" s="186"/>
      <c r="G32" s="187"/>
    </row>
    <row r="33" spans="1:8" ht="12.75" customHeight="1">
      <c r="A33" s="195" t="s">
        <v>0</v>
      </c>
      <c r="B33" s="198" t="s">
        <v>42</v>
      </c>
      <c r="C33" s="190" t="s">
        <v>41</v>
      </c>
      <c r="D33" s="190" t="str">
        <f>"Pods 
required
for 
"&amp;B22&amp;" RPS"</f>
        <v>Pods 
required
for 
17 RPS</v>
      </c>
      <c r="E33" s="190" t="s">
        <v>43</v>
      </c>
      <c r="F33" s="190" t="s">
        <v>44</v>
      </c>
      <c r="G33" s="190" t="s">
        <v>40</v>
      </c>
    </row>
    <row r="34" spans="1:8" s="8" customFormat="1">
      <c r="A34" s="196"/>
      <c r="B34" s="199"/>
      <c r="C34" s="191"/>
      <c r="D34" s="191"/>
      <c r="E34" s="191"/>
      <c r="F34" s="191"/>
      <c r="G34" s="191"/>
    </row>
    <row r="35" spans="1:8" s="8" customFormat="1">
      <c r="A35" s="196"/>
      <c r="B35" s="199"/>
      <c r="C35" s="191"/>
      <c r="D35" s="191"/>
      <c r="E35" s="191"/>
      <c r="F35" s="191"/>
      <c r="G35" s="191"/>
    </row>
    <row r="36" spans="1:8" s="8" customFormat="1" ht="13.5" thickBot="1">
      <c r="A36" s="197"/>
      <c r="B36" s="200"/>
      <c r="C36" s="192"/>
      <c r="D36" s="192"/>
      <c r="E36" s="192"/>
      <c r="F36" s="192"/>
      <c r="G36" s="192"/>
    </row>
    <row r="37" spans="1:8">
      <c r="A37" s="151" t="s">
        <v>20</v>
      </c>
      <c r="B37" s="141">
        <v>1</v>
      </c>
      <c r="C37" s="142">
        <v>1</v>
      </c>
      <c r="D37" s="143">
        <v>2</v>
      </c>
      <c r="E37" s="161">
        <f t="shared" ref="E37:F47" si="0">$B$24*B37</f>
        <v>5</v>
      </c>
      <c r="F37" s="161">
        <f t="shared" si="0"/>
        <v>5</v>
      </c>
      <c r="G37" s="162">
        <f t="shared" ref="G37:G45" si="1">$B$24*D37</f>
        <v>10</v>
      </c>
    </row>
    <row r="38" spans="1:8">
      <c r="A38" s="151" t="s">
        <v>21</v>
      </c>
      <c r="B38" s="144">
        <v>0.7</v>
      </c>
      <c r="C38" s="121">
        <v>1.5</v>
      </c>
      <c r="D38" s="145">
        <v>2</v>
      </c>
      <c r="E38" s="163">
        <f t="shared" si="0"/>
        <v>3.5</v>
      </c>
      <c r="F38" s="163">
        <f t="shared" si="0"/>
        <v>7.5</v>
      </c>
      <c r="G38" s="164">
        <f t="shared" si="1"/>
        <v>10</v>
      </c>
    </row>
    <row r="39" spans="1:8">
      <c r="A39" s="151" t="s">
        <v>22</v>
      </c>
      <c r="B39" s="144">
        <v>1</v>
      </c>
      <c r="C39" s="121">
        <v>5</v>
      </c>
      <c r="D39" s="145">
        <v>2</v>
      </c>
      <c r="E39" s="163">
        <f t="shared" si="0"/>
        <v>5</v>
      </c>
      <c r="F39" s="163">
        <f t="shared" si="0"/>
        <v>25</v>
      </c>
      <c r="G39" s="164">
        <f t="shared" si="1"/>
        <v>10</v>
      </c>
    </row>
    <row r="40" spans="1:8">
      <c r="A40" s="151" t="s">
        <v>25</v>
      </c>
      <c r="B40" s="144">
        <v>2</v>
      </c>
      <c r="C40" s="121">
        <v>2.5</v>
      </c>
      <c r="D40" s="145">
        <v>3</v>
      </c>
      <c r="E40" s="163">
        <f t="shared" si="0"/>
        <v>10</v>
      </c>
      <c r="F40" s="163">
        <f t="shared" si="0"/>
        <v>12.5</v>
      </c>
      <c r="G40" s="164">
        <f t="shared" si="1"/>
        <v>15</v>
      </c>
    </row>
    <row r="41" spans="1:8" s="92" customFormat="1">
      <c r="A41" s="151" t="s">
        <v>24</v>
      </c>
      <c r="B41" s="144">
        <v>2</v>
      </c>
      <c r="C41" s="121">
        <v>6</v>
      </c>
      <c r="D41" s="145">
        <v>4</v>
      </c>
      <c r="E41" s="163">
        <f t="shared" si="0"/>
        <v>10</v>
      </c>
      <c r="F41" s="163">
        <f t="shared" si="0"/>
        <v>30</v>
      </c>
      <c r="G41" s="164">
        <f t="shared" si="1"/>
        <v>20</v>
      </c>
    </row>
    <row r="42" spans="1:8" s="92" customFormat="1">
      <c r="A42" s="151" t="s">
        <v>71</v>
      </c>
      <c r="B42" s="144">
        <v>0.5</v>
      </c>
      <c r="C42" s="121">
        <v>2.25</v>
      </c>
      <c r="D42" s="145">
        <v>2</v>
      </c>
      <c r="E42" s="163">
        <f t="shared" si="0"/>
        <v>2.5</v>
      </c>
      <c r="F42" s="163">
        <f t="shared" si="0"/>
        <v>11.25</v>
      </c>
      <c r="G42" s="164">
        <f t="shared" si="1"/>
        <v>10</v>
      </c>
    </row>
    <row r="43" spans="1:8" s="92" customFormat="1">
      <c r="A43" s="151" t="s">
        <v>72</v>
      </c>
      <c r="B43" s="144">
        <v>2</v>
      </c>
      <c r="C43" s="121">
        <v>5</v>
      </c>
      <c r="D43" s="145">
        <v>2</v>
      </c>
      <c r="E43" s="163">
        <f t="shared" si="0"/>
        <v>10</v>
      </c>
      <c r="F43" s="163">
        <f t="shared" si="0"/>
        <v>25</v>
      </c>
      <c r="G43" s="164">
        <f t="shared" si="1"/>
        <v>10</v>
      </c>
    </row>
    <row r="44" spans="1:8" s="92" customFormat="1">
      <c r="A44" s="151" t="s">
        <v>73</v>
      </c>
      <c r="B44" s="144">
        <v>1</v>
      </c>
      <c r="C44" s="121">
        <v>5</v>
      </c>
      <c r="D44" s="145">
        <v>3</v>
      </c>
      <c r="E44" s="163">
        <f t="shared" si="0"/>
        <v>5</v>
      </c>
      <c r="F44" s="163">
        <f t="shared" si="0"/>
        <v>25</v>
      </c>
      <c r="G44" s="164">
        <f t="shared" si="1"/>
        <v>15</v>
      </c>
    </row>
    <row r="45" spans="1:8">
      <c r="A45" s="151" t="s">
        <v>74</v>
      </c>
      <c r="B45" s="144">
        <v>2</v>
      </c>
      <c r="C45" s="121">
        <v>5</v>
      </c>
      <c r="D45" s="145">
        <v>5</v>
      </c>
      <c r="E45" s="163">
        <f t="shared" si="0"/>
        <v>10</v>
      </c>
      <c r="F45" s="163">
        <f t="shared" si="0"/>
        <v>25</v>
      </c>
      <c r="G45" s="164">
        <f t="shared" si="1"/>
        <v>25</v>
      </c>
    </row>
    <row r="46" spans="1:8">
      <c r="A46" s="152" t="s">
        <v>8</v>
      </c>
      <c r="B46" s="146"/>
      <c r="C46" s="147"/>
      <c r="D46" s="147"/>
      <c r="E46" s="163">
        <f t="shared" si="0"/>
        <v>0</v>
      </c>
      <c r="F46" s="163">
        <f t="shared" si="0"/>
        <v>0</v>
      </c>
      <c r="G46" s="165">
        <v>1</v>
      </c>
      <c r="H46" s="68"/>
    </row>
    <row r="47" spans="1:8" ht="13.5" thickBot="1">
      <c r="A47" s="153" t="s">
        <v>9</v>
      </c>
      <c r="B47" s="149"/>
      <c r="C47" s="150"/>
      <c r="D47" s="150"/>
      <c r="E47" s="166">
        <f t="shared" si="0"/>
        <v>0</v>
      </c>
      <c r="F47" s="166">
        <f t="shared" si="0"/>
        <v>0</v>
      </c>
      <c r="G47" s="167">
        <v>1</v>
      </c>
    </row>
    <row r="48" spans="1:8" ht="13.5" thickBot="1">
      <c r="A48" s="154"/>
      <c r="B48" s="135"/>
      <c r="C48" s="135"/>
      <c r="D48" s="135"/>
      <c r="E48" s="135">
        <f>SUM(E37:E47)</f>
        <v>61</v>
      </c>
      <c r="F48" s="135">
        <f>SUM(F37:F47)</f>
        <v>166.25</v>
      </c>
      <c r="G48" s="148">
        <f>SUM(G37:G47)</f>
        <v>127</v>
      </c>
    </row>
    <row r="49" spans="1:8" ht="13.5" thickBot="1">
      <c r="A49" s="138" t="s">
        <v>10</v>
      </c>
      <c r="B49" s="139"/>
      <c r="C49" s="139"/>
      <c r="D49" s="139"/>
      <c r="E49" s="139"/>
      <c r="F49" s="139"/>
      <c r="G49" s="140"/>
    </row>
    <row r="50" spans="1:8">
      <c r="A50" s="155" t="s">
        <v>1</v>
      </c>
      <c r="B50" s="135"/>
      <c r="C50" s="135"/>
      <c r="D50" s="135"/>
      <c r="E50" s="137">
        <f t="shared" ref="E50:F50" si="2">E48*0.2</f>
        <v>12.200000000000001</v>
      </c>
      <c r="F50" s="137">
        <f t="shared" si="2"/>
        <v>33.25</v>
      </c>
      <c r="G50" s="148"/>
    </row>
    <row r="51" spans="1:8">
      <c r="A51" s="155" t="s">
        <v>2</v>
      </c>
      <c r="B51" s="135"/>
      <c r="C51" s="135"/>
      <c r="D51" s="135"/>
      <c r="E51" s="137">
        <f>ROUND((E48+E50)*0.3,2)</f>
        <v>21.96</v>
      </c>
      <c r="F51" s="137">
        <f>(F48+F50)*0.3</f>
        <v>59.849999999999994</v>
      </c>
      <c r="G51" s="148"/>
    </row>
    <row r="52" spans="1:8">
      <c r="A52" s="155" t="s">
        <v>3</v>
      </c>
      <c r="B52" s="135"/>
      <c r="C52" s="135"/>
      <c r="D52" s="135"/>
      <c r="E52" s="137">
        <f t="shared" ref="E52:F52" si="3">ROUND((E51*0.3),2)</f>
        <v>6.59</v>
      </c>
      <c r="F52" s="137">
        <f t="shared" si="3"/>
        <v>17.96</v>
      </c>
      <c r="G52" s="148"/>
    </row>
    <row r="53" spans="1:8" ht="13.5" thickBot="1">
      <c r="A53" s="156" t="s">
        <v>11</v>
      </c>
      <c r="B53" s="157"/>
      <c r="C53" s="157"/>
      <c r="D53" s="157"/>
      <c r="E53" s="158">
        <f>CEILING((SUM(E48:E52)),1)</f>
        <v>102</v>
      </c>
      <c r="F53" s="158">
        <f>CEILING(SUM(F48:F52),1)</f>
        <v>278</v>
      </c>
      <c r="G53" s="159">
        <f>SUM(G37:G47)</f>
        <v>127</v>
      </c>
    </row>
    <row r="54" spans="1:8">
      <c r="A54" s="49"/>
      <c r="B54" s="44"/>
      <c r="C54" s="44"/>
      <c r="D54" s="44"/>
      <c r="E54" s="160" t="s">
        <v>33</v>
      </c>
      <c r="F54" s="160" t="s">
        <v>34</v>
      </c>
      <c r="G54" s="160" t="s">
        <v>32</v>
      </c>
      <c r="H54" s="44"/>
    </row>
    <row r="55" spans="1:8">
      <c r="A55" s="49"/>
      <c r="B55" s="44"/>
      <c r="C55" s="44"/>
      <c r="D55" s="44"/>
      <c r="E55" s="44"/>
      <c r="F55" s="44"/>
      <c r="G55" s="44"/>
      <c r="H55" s="44"/>
    </row>
    <row r="56" spans="1:8">
      <c r="A56" t="s">
        <v>76</v>
      </c>
    </row>
  </sheetData>
  <mergeCells count="11">
    <mergeCell ref="A33:A36"/>
    <mergeCell ref="B33:B36"/>
    <mergeCell ref="C33:C36"/>
    <mergeCell ref="D33:D36"/>
    <mergeCell ref="E33:E36"/>
    <mergeCell ref="B32:D32"/>
    <mergeCell ref="E32:G32"/>
    <mergeCell ref="C7:D9"/>
    <mergeCell ref="F33:F36"/>
    <mergeCell ref="C13:G13"/>
    <mergeCell ref="G33:G36"/>
  </mergeCells>
  <phoneticPr fontId="16"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FFFB-27AB-47EF-9FEA-3305B1560EA7}">
  <dimension ref="A1:J67"/>
  <sheetViews>
    <sheetView topLeftCell="A19" zoomScale="70" zoomScaleNormal="70" workbookViewId="0">
      <selection activeCell="A41" sqref="A41"/>
    </sheetView>
  </sheetViews>
  <sheetFormatPr defaultColWidth="8.85546875" defaultRowHeight="12.75"/>
  <cols>
    <col min="1" max="1" width="71.28515625" bestFit="1" customWidth="1"/>
    <col min="2" max="2" width="18.42578125" customWidth="1"/>
    <col min="3" max="3" width="17.7109375" bestFit="1" customWidth="1"/>
    <col min="4" max="4" width="16.7109375" customWidth="1"/>
    <col min="5" max="5" width="10.7109375" customWidth="1"/>
    <col min="6" max="6" width="16.28515625" customWidth="1"/>
    <col min="7" max="7" width="13" bestFit="1" customWidth="1"/>
    <col min="8" max="8" width="13.5703125" customWidth="1"/>
    <col min="9" max="9" width="14.140625" customWidth="1"/>
  </cols>
  <sheetData>
    <row r="1" spans="1:10" ht="21" thickBot="1">
      <c r="A1" s="15" t="s">
        <v>13</v>
      </c>
      <c r="B1" s="13"/>
      <c r="C1" s="13"/>
      <c r="D1" s="13"/>
      <c r="E1" s="13"/>
      <c r="F1" s="13"/>
      <c r="G1" s="13"/>
      <c r="H1" s="13"/>
      <c r="I1" s="13"/>
      <c r="J1" s="13"/>
    </row>
    <row r="2" spans="1:10" ht="13.5" thickBot="1">
      <c r="A2" s="16" t="s">
        <v>12</v>
      </c>
      <c r="B2" s="13"/>
      <c r="C2" s="13"/>
      <c r="D2" s="13"/>
      <c r="E2" s="13"/>
      <c r="F2" s="13"/>
      <c r="G2" s="13"/>
      <c r="H2" s="13"/>
      <c r="I2" s="13"/>
      <c r="J2" s="13"/>
    </row>
    <row r="3" spans="1:10" s="8" customFormat="1">
      <c r="A3" s="17"/>
      <c r="B3" s="13"/>
      <c r="C3" s="13"/>
      <c r="D3" s="13"/>
      <c r="E3" s="13"/>
      <c r="F3" s="13"/>
      <c r="G3" s="13"/>
      <c r="H3" s="13"/>
      <c r="I3" s="13"/>
      <c r="J3" s="13"/>
    </row>
    <row r="4" spans="1:10">
      <c r="A4" s="10"/>
      <c r="B4" s="10"/>
      <c r="C4" s="10"/>
    </row>
    <row r="5" spans="1:10" ht="13.5" thickBot="1">
      <c r="A5" s="18" t="s">
        <v>4</v>
      </c>
      <c r="B5" s="10"/>
      <c r="C5" s="10"/>
    </row>
    <row r="6" spans="1:10" ht="13.5" thickBot="1">
      <c r="A6" s="50" t="s">
        <v>58</v>
      </c>
      <c r="B6" s="89" t="s">
        <v>5</v>
      </c>
      <c r="C6" s="10"/>
      <c r="H6" s="3"/>
    </row>
    <row r="7" spans="1:10" ht="12.75" customHeight="1">
      <c r="A7" s="87" t="s">
        <v>35</v>
      </c>
      <c r="B7" s="90">
        <f>Summary!B7</f>
        <v>100000000</v>
      </c>
      <c r="C7" s="182" t="s">
        <v>68</v>
      </c>
      <c r="D7" s="183"/>
      <c r="G7" s="103"/>
    </row>
    <row r="8" spans="1:10" s="8" customFormat="1" ht="13.5" thickBot="1">
      <c r="A8" s="88" t="s">
        <v>36</v>
      </c>
      <c r="B8" s="91">
        <f>Summary!B10</f>
        <v>0.1</v>
      </c>
      <c r="C8" s="182"/>
      <c r="D8" s="183"/>
      <c r="G8" s="103"/>
      <c r="I8" s="13"/>
      <c r="J8" s="13"/>
    </row>
    <row r="9" spans="1:10" s="9" customFormat="1">
      <c r="A9" s="85"/>
      <c r="B9" s="86"/>
      <c r="C9" s="114"/>
      <c r="D9" s="102"/>
      <c r="I9" s="13"/>
      <c r="J9" s="13"/>
    </row>
    <row r="10" spans="1:10" s="9" customFormat="1" ht="13.5" thickBot="1">
      <c r="A10" s="83" t="s">
        <v>59</v>
      </c>
      <c r="B10" s="86"/>
      <c r="C10" s="67"/>
      <c r="I10" s="13"/>
      <c r="J10" s="13"/>
    </row>
    <row r="11" spans="1:10" s="9" customFormat="1" ht="13.5" thickBot="1">
      <c r="A11" s="84" t="s">
        <v>67</v>
      </c>
      <c r="B11" s="69" t="s">
        <v>5</v>
      </c>
      <c r="C11" s="67"/>
      <c r="I11" s="13"/>
      <c r="J11" s="13"/>
    </row>
    <row r="12" spans="1:10" s="8" customFormat="1" ht="13.5" customHeight="1" thickBot="1">
      <c r="A12" s="27" t="s">
        <v>39</v>
      </c>
      <c r="B12" s="133">
        <v>0.08</v>
      </c>
      <c r="C12" s="193" t="s">
        <v>75</v>
      </c>
      <c r="D12" s="194"/>
      <c r="E12" s="194"/>
      <c r="F12" s="194"/>
      <c r="I12" s="13"/>
      <c r="J12" s="13"/>
    </row>
    <row r="13" spans="1:10" ht="13.5" thickBot="1">
      <c r="A13" s="10"/>
      <c r="B13" s="53"/>
      <c r="C13" s="10"/>
    </row>
    <row r="14" spans="1:10" ht="13.5" thickBot="1">
      <c r="A14" s="26" t="s">
        <v>70</v>
      </c>
      <c r="B14" s="54" t="s">
        <v>5</v>
      </c>
      <c r="C14" s="10"/>
    </row>
    <row r="15" spans="1:10">
      <c r="A15" s="28" t="s">
        <v>6</v>
      </c>
      <c r="B15" s="116">
        <f>B7</f>
        <v>100000000</v>
      </c>
      <c r="C15" s="10"/>
    </row>
    <row r="16" spans="1:10" s="8" customFormat="1">
      <c r="A16" s="29" t="s">
        <v>38</v>
      </c>
      <c r="B16" s="116">
        <f>B7*B8</f>
        <v>10000000</v>
      </c>
      <c r="C16" s="10"/>
    </row>
    <row r="17" spans="1:7" s="8" customFormat="1">
      <c r="A17" s="29" t="s">
        <v>37</v>
      </c>
      <c r="B17" s="116">
        <f>B16*B12</f>
        <v>800000</v>
      </c>
      <c r="C17" s="10"/>
    </row>
    <row r="18" spans="1:7" ht="13.5" thickBot="1">
      <c r="A18" s="19" t="s">
        <v>7</v>
      </c>
      <c r="B18" s="117">
        <f>CEILING(B17/3600,1)</f>
        <v>223</v>
      </c>
      <c r="C18" s="10"/>
    </row>
    <row r="19" spans="1:7" ht="13.5" thickBot="1">
      <c r="A19" s="10"/>
      <c r="B19" s="53"/>
      <c r="C19" s="10"/>
    </row>
    <row r="20" spans="1:7" ht="13.5" thickBot="1">
      <c r="A20" s="57" t="s">
        <v>63</v>
      </c>
      <c r="B20" s="108"/>
      <c r="C20" s="67"/>
    </row>
    <row r="21" spans="1:7" ht="13.5" thickBot="1">
      <c r="A21" s="109" t="s">
        <v>15</v>
      </c>
      <c r="B21" s="118">
        <v>50</v>
      </c>
      <c r="C21" s="10"/>
    </row>
    <row r="22" spans="1:7" s="8" customFormat="1" ht="13.5" thickBot="1">
      <c r="A22" s="25"/>
      <c r="B22" s="107"/>
      <c r="C22" s="10"/>
    </row>
    <row r="23" spans="1:7" ht="18.75" thickBot="1">
      <c r="A23" s="110" t="s">
        <v>14</v>
      </c>
      <c r="B23" s="120">
        <f>CEILING(B18/B21,1)</f>
        <v>5</v>
      </c>
      <c r="C23" s="10"/>
    </row>
    <row r="24" spans="1:7">
      <c r="A24" s="24"/>
      <c r="B24" s="24"/>
      <c r="C24" s="10"/>
    </row>
    <row r="25" spans="1:7">
      <c r="A25" s="8"/>
      <c r="B25" s="8"/>
      <c r="C25" s="8"/>
      <c r="D25" s="8"/>
      <c r="E25" s="8"/>
      <c r="F25" s="8"/>
      <c r="G25" s="8"/>
    </row>
    <row r="26" spans="1:7" ht="13.5" thickBot="1">
      <c r="A26" s="44"/>
      <c r="B26" s="44"/>
      <c r="C26" s="44"/>
      <c r="D26" s="44"/>
      <c r="E26" s="45" t="s">
        <v>45</v>
      </c>
      <c r="F26" s="45" t="s">
        <v>34</v>
      </c>
      <c r="G26" s="45" t="s">
        <v>32</v>
      </c>
    </row>
    <row r="27" spans="1:7" ht="21" thickBot="1">
      <c r="A27" s="71" t="s">
        <v>11</v>
      </c>
      <c r="B27" s="72"/>
      <c r="C27" s="72"/>
      <c r="D27" s="72"/>
      <c r="E27" s="73">
        <f>E48</f>
        <v>87</v>
      </c>
      <c r="F27" s="74">
        <f>F48</f>
        <v>295</v>
      </c>
      <c r="G27" s="73">
        <f>G48</f>
        <v>87</v>
      </c>
    </row>
    <row r="29" spans="1:7" ht="13.5" thickBot="1">
      <c r="A29" s="18" t="s">
        <v>65</v>
      </c>
      <c r="B29" s="3"/>
    </row>
    <row r="30" spans="1:7" s="81" customFormat="1" ht="13.5" thickBot="1">
      <c r="A30" s="18"/>
      <c r="B30" s="185" t="s">
        <v>64</v>
      </c>
      <c r="C30" s="186"/>
      <c r="D30" s="186"/>
      <c r="E30" s="201" t="s">
        <v>66</v>
      </c>
      <c r="F30" s="201"/>
      <c r="G30" s="202"/>
    </row>
    <row r="31" spans="1:7">
      <c r="A31" s="195" t="s">
        <v>0</v>
      </c>
      <c r="B31" s="198" t="s">
        <v>42</v>
      </c>
      <c r="C31" s="190" t="s">
        <v>41</v>
      </c>
      <c r="D31" s="190" t="str">
        <f>"Pods 
required
for 
"&amp;B21&amp;" RPS"</f>
        <v>Pods 
required
for 
50 RPS</v>
      </c>
      <c r="E31" s="190" t="s">
        <v>43</v>
      </c>
      <c r="F31" s="190" t="s">
        <v>44</v>
      </c>
      <c r="G31" s="190" t="s">
        <v>40</v>
      </c>
    </row>
    <row r="32" spans="1:7">
      <c r="A32" s="196"/>
      <c r="B32" s="199"/>
      <c r="C32" s="191"/>
      <c r="D32" s="191"/>
      <c r="E32" s="191"/>
      <c r="F32" s="191"/>
      <c r="G32" s="191"/>
    </row>
    <row r="33" spans="1:9">
      <c r="A33" s="196"/>
      <c r="B33" s="199"/>
      <c r="C33" s="191"/>
      <c r="D33" s="191"/>
      <c r="E33" s="191"/>
      <c r="F33" s="191"/>
      <c r="G33" s="191"/>
    </row>
    <row r="34" spans="1:9" ht="13.5" thickBot="1">
      <c r="A34" s="197"/>
      <c r="B34" s="200"/>
      <c r="C34" s="192"/>
      <c r="D34" s="192"/>
      <c r="E34" s="192"/>
      <c r="F34" s="192"/>
      <c r="G34" s="192"/>
    </row>
    <row r="35" spans="1:9">
      <c r="A35" s="31" t="s">
        <v>26</v>
      </c>
      <c r="B35" s="122">
        <v>2</v>
      </c>
      <c r="C35" s="122">
        <v>5</v>
      </c>
      <c r="D35" s="123">
        <v>4</v>
      </c>
      <c r="E35" s="34">
        <f t="shared" ref="E35:F40" si="0">$B$23*B35</f>
        <v>10</v>
      </c>
      <c r="F35" s="34">
        <f t="shared" si="0"/>
        <v>25</v>
      </c>
      <c r="G35" s="34">
        <f t="shared" ref="G35:G40" si="1">$B$23*D35</f>
        <v>20</v>
      </c>
    </row>
    <row r="36" spans="1:9">
      <c r="A36" s="31" t="s">
        <v>27</v>
      </c>
      <c r="B36" s="122">
        <v>0.5</v>
      </c>
      <c r="C36" s="122">
        <v>4</v>
      </c>
      <c r="D36" s="123">
        <v>2</v>
      </c>
      <c r="E36" s="34">
        <f t="shared" si="0"/>
        <v>2.5</v>
      </c>
      <c r="F36" s="34">
        <f t="shared" si="0"/>
        <v>20</v>
      </c>
      <c r="G36" s="34">
        <f t="shared" si="1"/>
        <v>10</v>
      </c>
    </row>
    <row r="37" spans="1:9">
      <c r="A37" s="31" t="s">
        <v>28</v>
      </c>
      <c r="B37" s="122">
        <v>1.5</v>
      </c>
      <c r="C37" s="122">
        <v>4</v>
      </c>
      <c r="D37" s="123">
        <v>3</v>
      </c>
      <c r="E37" s="34">
        <f t="shared" si="0"/>
        <v>7.5</v>
      </c>
      <c r="F37" s="34">
        <f t="shared" si="0"/>
        <v>20</v>
      </c>
      <c r="G37" s="34">
        <f t="shared" si="1"/>
        <v>15</v>
      </c>
    </row>
    <row r="38" spans="1:9">
      <c r="A38" s="31" t="s">
        <v>29</v>
      </c>
      <c r="B38" s="122">
        <v>1.5</v>
      </c>
      <c r="C38" s="122">
        <v>5</v>
      </c>
      <c r="D38" s="123">
        <v>3</v>
      </c>
      <c r="E38" s="34">
        <f t="shared" si="0"/>
        <v>7.5</v>
      </c>
      <c r="F38" s="34">
        <f t="shared" si="0"/>
        <v>25</v>
      </c>
      <c r="G38" s="34">
        <f t="shared" si="1"/>
        <v>15</v>
      </c>
    </row>
    <row r="39" spans="1:9">
      <c r="A39" s="32" t="s">
        <v>30</v>
      </c>
      <c r="B39" s="122">
        <v>0.5</v>
      </c>
      <c r="C39" s="122">
        <v>3.1</v>
      </c>
      <c r="D39" s="123">
        <v>3</v>
      </c>
      <c r="E39" s="34">
        <f t="shared" si="0"/>
        <v>2.5</v>
      </c>
      <c r="F39" s="34">
        <f t="shared" si="0"/>
        <v>15.5</v>
      </c>
      <c r="G39" s="34">
        <f t="shared" si="1"/>
        <v>15</v>
      </c>
      <c r="I39" s="12"/>
    </row>
    <row r="40" spans="1:9" ht="13.5" thickBot="1">
      <c r="A40" s="32" t="s">
        <v>31</v>
      </c>
      <c r="B40" s="122">
        <v>2</v>
      </c>
      <c r="C40" s="122">
        <v>5</v>
      </c>
      <c r="D40" s="123">
        <v>2</v>
      </c>
      <c r="E40" s="34">
        <f t="shared" si="0"/>
        <v>10</v>
      </c>
      <c r="F40" s="34">
        <f t="shared" si="0"/>
        <v>25</v>
      </c>
      <c r="G40" s="34">
        <f t="shared" si="1"/>
        <v>10</v>
      </c>
    </row>
    <row r="41" spans="1:9">
      <c r="A41" s="33" t="s">
        <v>8</v>
      </c>
      <c r="B41" s="124">
        <v>4</v>
      </c>
      <c r="C41" s="124">
        <v>15</v>
      </c>
      <c r="D41" s="125">
        <v>1</v>
      </c>
      <c r="E41" s="36">
        <f>G41*B41</f>
        <v>4</v>
      </c>
      <c r="F41" s="36">
        <f>G41*C41</f>
        <v>15</v>
      </c>
      <c r="G41" s="35">
        <v>1</v>
      </c>
    </row>
    <row r="42" spans="1:9" ht="13.5" thickBot="1">
      <c r="A42" s="20" t="s">
        <v>9</v>
      </c>
      <c r="B42" s="126">
        <v>8</v>
      </c>
      <c r="C42" s="126">
        <v>31</v>
      </c>
      <c r="D42" s="127">
        <v>1</v>
      </c>
      <c r="E42" s="38">
        <f>B42</f>
        <v>8</v>
      </c>
      <c r="F42" s="38">
        <f>C42</f>
        <v>31</v>
      </c>
      <c r="G42" s="37">
        <v>1</v>
      </c>
    </row>
    <row r="43" spans="1:9" ht="13.5" thickBot="1">
      <c r="A43" s="169"/>
      <c r="B43" s="39"/>
      <c r="C43" s="39"/>
      <c r="D43" s="39"/>
      <c r="E43" s="40">
        <f>SUM(E35:E42)</f>
        <v>52</v>
      </c>
      <c r="F43" s="40">
        <f>SUM(F35:F42)</f>
        <v>176.5</v>
      </c>
      <c r="G43" s="37">
        <f>SUM(G35:G42)</f>
        <v>87</v>
      </c>
    </row>
    <row r="44" spans="1:9" ht="13.5" thickBot="1">
      <c r="A44" s="170" t="s">
        <v>10</v>
      </c>
      <c r="B44" s="21"/>
      <c r="C44" s="21"/>
      <c r="D44" s="21"/>
      <c r="E44" s="22"/>
      <c r="F44" s="23"/>
      <c r="G44" s="171"/>
    </row>
    <row r="45" spans="1:9">
      <c r="A45" s="172" t="s">
        <v>81</v>
      </c>
      <c r="B45" s="173"/>
      <c r="C45" s="173"/>
      <c r="D45" s="173"/>
      <c r="E45" s="168">
        <f t="shared" ref="E45:F45" si="2">E43*0.2</f>
        <v>10.4</v>
      </c>
      <c r="F45" s="41">
        <f t="shared" si="2"/>
        <v>35.300000000000004</v>
      </c>
      <c r="G45" s="174"/>
    </row>
    <row r="46" spans="1:9" ht="12.75" customHeight="1">
      <c r="A46" s="172" t="s">
        <v>2</v>
      </c>
      <c r="B46" s="173"/>
      <c r="C46" s="173"/>
      <c r="D46" s="173"/>
      <c r="E46" s="168">
        <f>ROUND((E43+E45)*0.3,2)</f>
        <v>18.72</v>
      </c>
      <c r="F46" s="41">
        <f>(F43+F45)*0.3</f>
        <v>63.54</v>
      </c>
      <c r="G46" s="174"/>
    </row>
    <row r="47" spans="1:9">
      <c r="A47" s="172" t="s">
        <v>3</v>
      </c>
      <c r="B47" s="173"/>
      <c r="C47" s="173"/>
      <c r="D47" s="173"/>
      <c r="E47" s="168">
        <f t="shared" ref="E47:F47" si="3">ROUND((E46*0.3),2)</f>
        <v>5.62</v>
      </c>
      <c r="F47" s="41">
        <f t="shared" si="3"/>
        <v>19.059999999999999</v>
      </c>
      <c r="G47" s="174"/>
    </row>
    <row r="48" spans="1:9" ht="16.5" thickBot="1">
      <c r="A48" s="175" t="s">
        <v>11</v>
      </c>
      <c r="B48" s="30"/>
      <c r="C48" s="30"/>
      <c r="D48" s="30"/>
      <c r="E48" s="42">
        <f>CEILING((SUM(E43:E47)),1)</f>
        <v>87</v>
      </c>
      <c r="F48" s="43">
        <f>CEILING(SUM(F43:F47),1)</f>
        <v>295</v>
      </c>
      <c r="G48" s="176">
        <f>CEILING((SUM(G35:G42)),1)</f>
        <v>87</v>
      </c>
    </row>
    <row r="49" spans="1:10">
      <c r="A49" s="172"/>
      <c r="B49" s="177"/>
      <c r="C49" s="177"/>
      <c r="D49" s="177"/>
      <c r="E49" s="177" t="s">
        <v>33</v>
      </c>
      <c r="F49" s="177" t="s">
        <v>34</v>
      </c>
      <c r="G49" s="177" t="s">
        <v>32</v>
      </c>
      <c r="H49" s="44"/>
    </row>
    <row r="50" spans="1:10" ht="18.75">
      <c r="A50" s="8"/>
      <c r="B50" s="13"/>
      <c r="C50" s="14"/>
      <c r="D50" s="12"/>
      <c r="E50" s="12"/>
      <c r="F50" s="12"/>
      <c r="G50" s="12"/>
      <c r="H50" s="8"/>
    </row>
    <row r="51" spans="1:10">
      <c r="A51" s="92" t="s">
        <v>76</v>
      </c>
      <c r="B51" s="3"/>
      <c r="C51" s="3"/>
      <c r="D51" s="3"/>
    </row>
    <row r="52" spans="1:10">
      <c r="A52" s="3"/>
      <c r="B52" s="3"/>
      <c r="C52" s="3"/>
      <c r="D52" s="3"/>
    </row>
    <row r="53" spans="1:10">
      <c r="A53" s="3"/>
      <c r="B53" s="3"/>
      <c r="C53" s="3"/>
      <c r="D53" s="3"/>
    </row>
    <row r="54" spans="1:10">
      <c r="A54" s="3"/>
      <c r="B54" s="3"/>
      <c r="C54" s="3"/>
      <c r="D54" s="3"/>
    </row>
    <row r="55" spans="1:10">
      <c r="A55" s="3"/>
      <c r="B55" s="3"/>
      <c r="C55" s="3"/>
      <c r="D55" s="3"/>
    </row>
    <row r="56" spans="1:10">
      <c r="A56" s="3"/>
      <c r="B56" s="3"/>
      <c r="C56" s="3"/>
      <c r="D56" s="3"/>
    </row>
    <row r="57" spans="1:10">
      <c r="A57" s="3"/>
      <c r="B57" s="3"/>
      <c r="C57" s="3"/>
      <c r="D57" s="3"/>
    </row>
    <row r="58" spans="1:10">
      <c r="A58" s="3"/>
      <c r="B58" s="3"/>
      <c r="C58" s="3"/>
      <c r="D58" s="3"/>
      <c r="E58" s="12"/>
      <c r="F58" s="12"/>
      <c r="G58" s="13"/>
      <c r="H58" s="12"/>
      <c r="I58" s="12"/>
    </row>
    <row r="59" spans="1:10">
      <c r="A59" s="3"/>
      <c r="B59" s="3"/>
      <c r="C59" s="3"/>
      <c r="D59" s="3"/>
      <c r="G59" s="3"/>
      <c r="J59" s="12"/>
    </row>
    <row r="60" spans="1:10">
      <c r="A60" s="3"/>
      <c r="B60" s="3"/>
      <c r="C60" s="3"/>
      <c r="D60" s="3"/>
      <c r="G60" s="3"/>
    </row>
    <row r="61" spans="1:10">
      <c r="A61" s="3"/>
      <c r="B61" s="3"/>
      <c r="C61" s="3"/>
      <c r="D61" s="3"/>
      <c r="G61" s="3"/>
    </row>
    <row r="62" spans="1:10">
      <c r="A62" s="3"/>
      <c r="B62" s="3"/>
      <c r="C62" s="3"/>
      <c r="D62" s="3"/>
      <c r="G62" s="3"/>
    </row>
    <row r="63" spans="1:10">
      <c r="A63" s="3"/>
      <c r="B63" s="3"/>
      <c r="C63" s="3"/>
      <c r="D63" s="3"/>
      <c r="G63" s="3"/>
    </row>
    <row r="64" spans="1:10">
      <c r="A64" s="3"/>
      <c r="B64" s="3"/>
      <c r="C64" s="3"/>
      <c r="D64" s="3"/>
      <c r="G64" s="3"/>
    </row>
    <row r="65" spans="1:4">
      <c r="A65" s="3"/>
      <c r="B65" s="3"/>
      <c r="C65" s="3"/>
      <c r="D65" s="3"/>
    </row>
    <row r="66" spans="1:4">
      <c r="A66" s="3"/>
      <c r="B66" s="3"/>
      <c r="C66" s="3"/>
      <c r="D66" s="3"/>
    </row>
    <row r="67" spans="1:4">
      <c r="A67" s="3"/>
      <c r="B67" s="3"/>
      <c r="C67" s="3"/>
      <c r="D67" s="3"/>
    </row>
  </sheetData>
  <mergeCells count="11">
    <mergeCell ref="C7:D8"/>
    <mergeCell ref="B30:D30"/>
    <mergeCell ref="E30:G30"/>
    <mergeCell ref="F31:F34"/>
    <mergeCell ref="A31:A34"/>
    <mergeCell ref="C12:F12"/>
    <mergeCell ref="D31:D34"/>
    <mergeCell ref="C31:C34"/>
    <mergeCell ref="B31:B34"/>
    <mergeCell ref="G31:G34"/>
    <mergeCell ref="E31:E34"/>
  </mergeCells>
  <pageMargins left="0.7" right="0.7" top="0.75" bottom="0.75" header="0.3" footer="0.3"/>
  <pageSetup paperSize="9" orientation="portrait" r:id="rId1"/>
  <legacyDrawing r:id="rId2"/>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Registrations Upload &amp; SyncData</vt:lpstr>
      <vt:lpstr>IDAuthentication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2025-11-06T11:14:15Z</dcterms:created>
  <dcterms:modified xsi:type="dcterms:W3CDTF">2025-12-23T07:10:06Z</dcterms:modified>
</cp:coreProperties>
</file>